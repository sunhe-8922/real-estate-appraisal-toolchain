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置成本" sheetId="1" state="visible" r:id="rId1"/>
    <sheet xmlns:r="http://schemas.openxmlformats.org/officeDocument/2006/relationships" name="折旧测算" sheetId="2" state="visible" r:id="rId2"/>
    <sheet xmlns:r="http://schemas.openxmlformats.org/officeDocument/2006/relationships" name="成本价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00FF"/>
      <sz val="11"/>
    </font>
    <font>
      <name val="Arial"/>
      <color rgb="00666666"/>
      <sz val="10"/>
    </font>
    <font>
      <name val="Arial"/>
      <i val="1"/>
      <color rgb="00333333"/>
      <sz val="9"/>
    </font>
    <font>
      <name val="Arial"/>
      <b val="1"/>
      <color rgb="00000000"/>
      <sz val="11"/>
    </font>
    <font>
      <name val="Arial"/>
      <color rgb="00000000"/>
      <sz val="11"/>
    </font>
    <font>
      <name val="Arial"/>
      <i val="1"/>
      <color rgb="00666666"/>
      <sz val="9"/>
    </font>
    <font>
      <name val="Arial"/>
      <color rgb="00FF0000"/>
      <sz val="9"/>
    </font>
    <font>
      <name val="Arial"/>
      <b val="1"/>
      <color rgb="00000000"/>
      <sz val="12"/>
    </font>
    <font>
      <name val="Arial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164" fontId="2" fillId="0" borderId="0" pivotButton="0" quotePrefix="0" xfId="0"/>
    <xf numFmtId="10" fontId="2" fillId="0" borderId="0" pivotButton="0" quotePrefix="0" xfId="0"/>
    <xf numFmtId="3" fontId="2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3" fontId="9" fillId="5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5" borderId="1" pivotButton="0" quotePrefix="0" xfId="0"/>
    <xf numFmtId="0" fontId="10" fillId="0" borderId="1" pivotButton="0" quotePrefix="0" xfId="0"/>
    <xf numFmtId="3" fontId="6" fillId="0" borderId="1" pivotButton="0" quotePrefix="0" xfId="0"/>
    <xf numFmtId="0" fontId="10" fillId="0" borderId="1" applyAlignment="1" pivotButton="0" quotePrefix="0" xfId="0">
      <alignment horizontal="left" vertical="center" wrapText="1"/>
    </xf>
    <xf numFmtId="3" fontId="2" fillId="0" borderId="1" pivotButton="0" quotePrefix="0" xfId="0"/>
    <xf numFmtId="3" fontId="2" fillId="5" borderId="1" pivotButton="0" quotePrefix="0" xfId="0"/>
    <xf numFmtId="0" fontId="9" fillId="0" borderId="1" pivotButton="0" quotePrefix="0" xfId="0"/>
    <xf numFmtId="3" fontId="9" fillId="5" borderId="1" pivotButton="0" quotePrefix="0" xfId="0"/>
    <xf numFmtId="0" fontId="10" fillId="0" borderId="0" pivotButton="0" quotePrefix="0" xfId="0"/>
    <xf numFmtId="3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GB/T 50291-2015</author>
  </authors>
  <commentList>
    <comment ref="C6" authorId="0" shapeId="0">
      <text>
        <t>4.4.6条第1款: 土地成本 = 土地取得成本 + 土地开发成本。优先用比较法评估。</t>
      </text>
    </comment>
    <comment ref="C7" authorId="0" shapeId="0">
      <text>
        <t>4.4.6条第2款: 建设成本可按单位比较法、分部分项法或工料测量法求取。</t>
      </text>
    </comment>
    <comment ref="C8" authorId="0" shapeId="0">
      <text>
        <t>管理费用 = 建设成本 × 管理费率。管理费率参照同类项目或行业标准。管理费率在E8:F8输入。</t>
      </text>
    </comment>
    <comment ref="C10" authorId="0" shapeId="0">
      <text>
        <t>4.4.6条第2款: 投资利息计息基数不含销售费用和销售税费。各项计息期分别计算。利率在E10:F10输入。</t>
      </text>
    </comment>
    <comment ref="C12" authorId="0" shapeId="0">
      <text>
        <t>开发利润计算基数通常为土地成本+建设成本+管理费用+投资利息+销售费用。利润率在E12:F12输入。</t>
      </text>
    </comment>
  </commentList>
</comments>
</file>

<file path=xl/comments/comment2.xml><?xml version="1.0" encoding="utf-8"?>
<comments xmlns="http://schemas.openxmlformats.org/spreadsheetml/2006/main">
  <authors>
    <author>GB/T 50291-2015</author>
    <author>公式</author>
  </authors>
  <commentList>
    <comment ref="B7" authorId="0" shapeId="0">
      <text>
        <t>4.4.14条: 必须到现场查勘判断实际新旧程度，不得仅凭建成年代推算。</t>
      </text>
    </comment>
    <comment ref="B17" authorId="0" shapeId="0">
      <text>
        <t>4.4.10-4.4.12条: 物质折旧(自然/使用/环境)、功能折旧(技术落后/设计缺陷)、外部折旧(区位/外部因素)</t>
      </text>
    </comment>
    <comment ref="B19" authorId="1" shapeId="0">
      <text>
        <t>按B4选择的折旧方法自动取对应结果。年龄-寿命法=直线法、成新折扣法=(1-q)×C、分解法=三个子项之和。</t>
      </text>
    </comment>
  </commentList>
</comments>
</file>

<file path=xl/comments/comment3.xml><?xml version="1.0" encoding="utf-8"?>
<comments xmlns="http://schemas.openxmlformats.org/spreadsheetml/2006/main">
  <authors>
    <author>GB/T 50291-2015</author>
  </authors>
  <commentList>
    <comment ref="B7" authorId="0" shapeId="0">
      <text>
        <t>4.4.15条: 成本价值 = 重置成本 - 建筑物折旧 ± 权益状况调整。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35" customWidth="1" min="4" max="4"/>
    <col width="14" customWidth="1" min="5" max="5"/>
    <col width="12" customWidth="1" min="6" max="6"/>
  </cols>
  <sheetData>
    <row r="1" ht="30" customHeight="1">
      <c r="A1" s="1" t="inlineStr">
        <is>
          <t>重置成本/重建成本测算</t>
        </is>
      </c>
    </row>
    <row r="2">
      <c r="A2" s="2" t="inlineStr">
        <is>
          <t>估价对象: [请输入地址]</t>
        </is>
      </c>
      <c r="C2" s="3" t="inlineStr">
        <is>
          <t>价值时点: [请输入日期]     路径: 房地合估     成本类型: 重置成本</t>
        </is>
      </c>
    </row>
    <row r="3">
      <c r="A3" s="4" t="inlineStr">
        <is>
          <t>图例: 蓝色字=可修改输入  |  黑色字=公式自动计算  |  黄色底=关键参数</t>
        </is>
      </c>
    </row>
    <row r="5">
      <c r="A5" s="5" t="inlineStr">
        <is>
          <t>序号</t>
        </is>
      </c>
      <c r="B5" s="5" t="inlineStr">
        <is>
          <t>构成项</t>
        </is>
      </c>
      <c r="C5" s="5" t="inlineStr">
        <is>
          <t>金额 (元/m²)</t>
        </is>
      </c>
      <c r="D5" s="5" t="inlineStr">
        <is>
          <t>测算依据</t>
        </is>
      </c>
    </row>
    <row r="6">
      <c r="A6" s="6" t="n">
        <v>1</v>
      </c>
      <c r="B6" s="7" t="inlineStr">
        <is>
          <t>土地成本</t>
        </is>
      </c>
      <c r="C6" s="8" t="n"/>
      <c r="D6" s="9" t="inlineStr">
        <is>
          <t>方法: [比较法/成本法/基准地价法] 4.4.6条</t>
        </is>
      </c>
    </row>
    <row r="7">
      <c r="A7" s="6" t="n">
        <v>2</v>
      </c>
      <c r="B7" s="7" t="inlineStr">
        <is>
          <t>建设成本</t>
        </is>
      </c>
      <c r="C7" s="8" t="n"/>
      <c r="D7" s="9" t="inlineStr">
        <is>
          <t>方法: [单位比较法/分部分项法/工料测量法] 4.4.6条</t>
        </is>
      </c>
    </row>
    <row r="8">
      <c r="A8" s="6" t="n">
        <v>3</v>
      </c>
      <c r="B8" s="7" t="inlineStr">
        <is>
          <t>管理费用</t>
        </is>
      </c>
      <c r="C8" s="10">
        <f>ROUND(C7*管理费率,0)</f>
        <v/>
      </c>
      <c r="D8" s="9" t="inlineStr">
        <is>
          <t>公式: 管理费率 × 建设成本. 管理费率填在C8旁</t>
        </is>
      </c>
      <c r="E8" s="11" t="inlineStr">
        <is>
          <t>管理费率</t>
        </is>
      </c>
      <c r="F8" s="12" t="n"/>
    </row>
    <row r="9">
      <c r="A9" s="6" t="n">
        <v>4</v>
      </c>
      <c r="B9" s="7" t="inlineStr">
        <is>
          <t>销售费用</t>
        </is>
      </c>
      <c r="C9" s="10">
        <f>ROUND(售价*销售费率,0)</f>
        <v/>
      </c>
      <c r="D9" s="9" t="inlineStr">
        <is>
          <t>公式: 销售费率 × 售价. 销售费率填在C9旁</t>
        </is>
      </c>
      <c r="E9" s="11" t="inlineStr">
        <is>
          <t>销售费率</t>
        </is>
      </c>
      <c r="F9" s="12" t="n"/>
    </row>
    <row r="10">
      <c r="A10" s="6" t="n">
        <v>5</v>
      </c>
      <c r="B10" s="7" t="inlineStr">
        <is>
          <t>投资利息</t>
        </is>
      </c>
      <c r="C10" s="10">
        <f>ROUND(C6*利率*计息期+C7*利率*计息期/2,0)</f>
        <v/>
      </c>
      <c r="D10" s="9" t="inlineStr">
        <is>
          <t>利率填在C10旁. 不含C9/C11. 4.4.6条第2款</t>
        </is>
      </c>
      <c r="E10" s="11" t="inlineStr">
        <is>
          <t>利率</t>
        </is>
      </c>
      <c r="F10" s="13" t="n"/>
    </row>
    <row r="11">
      <c r="A11" s="6" t="n">
        <v>6</v>
      </c>
      <c r="B11" s="7" t="inlineStr">
        <is>
          <t>销售税费</t>
        </is>
      </c>
      <c r="C11" s="10">
        <f>ROUND(售价*税率,0)</f>
        <v/>
      </c>
      <c r="D11" s="9" t="inlineStr">
        <is>
          <t>公式: 税率 × 售价. 税率填在C11旁</t>
        </is>
      </c>
      <c r="E11" s="11" t="inlineStr">
        <is>
          <t>税率</t>
        </is>
      </c>
      <c r="F11" s="12" t="n"/>
    </row>
    <row r="12">
      <c r="A12" s="6" t="n">
        <v>7</v>
      </c>
      <c r="B12" s="7" t="inlineStr">
        <is>
          <t>开发利润</t>
        </is>
      </c>
      <c r="C12" s="14" t="n"/>
      <c r="D12" s="9" t="inlineStr">
        <is>
          <t>计算基数×利润率. 4.4.6条. 黄底=关键参数</t>
        </is>
      </c>
      <c r="E12" s="11" t="inlineStr">
        <is>
          <t>利润率</t>
        </is>
      </c>
      <c r="F12" s="12" t="n"/>
    </row>
    <row r="14">
      <c r="A14" s="15" t="inlineStr">
        <is>
          <t>重置成本合计 (元/m²)</t>
        </is>
      </c>
      <c r="C14" s="16">
        <f>ROUND(SUM(C6:C12),0)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D1"/>
    <mergeCell ref="A2:B2"/>
    <mergeCell ref="C2:D2"/>
    <mergeCell ref="A3:D3"/>
    <mergeCell ref="A14:B14"/>
  </mergeCells>
  <dataValidations count="1">
    <dataValidation sqref="C6 C7 C12 F8 F9 F10 F11 F12" showDropDown="0" showInputMessage="0" showErrorMessage="0" allowBlank="0" error="数值必须≥0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</cols>
  <sheetData>
    <row r="1" ht="30" customHeight="1">
      <c r="A1" s="1" t="inlineStr">
        <is>
          <t>建筑物折旧测算</t>
        </is>
      </c>
    </row>
    <row r="2">
      <c r="A2" s="17" t="inlineStr">
        <is>
          <t>折旧方法选择 →</t>
        </is>
      </c>
    </row>
    <row r="3">
      <c r="A3" s="5" t="inlineStr">
        <is>
          <t>参数</t>
        </is>
      </c>
      <c r="B3" s="5" t="inlineStr">
        <is>
          <t>数值</t>
        </is>
      </c>
      <c r="C3" s="5" t="inlineStr">
        <is>
          <t>说明</t>
        </is>
      </c>
    </row>
    <row r="4">
      <c r="A4" s="7" t="inlineStr">
        <is>
          <t>折旧方法</t>
        </is>
      </c>
      <c r="B4" s="18" t="n"/>
      <c r="C4" s="19" t="inlineStr">
        <is>
          <t>年龄-寿命法 / 成新折扣法 / 分解法</t>
        </is>
      </c>
    </row>
    <row r="5">
      <c r="A5" s="7" t="inlineStr">
        <is>
          <t>重置成本 C (元/m²)</t>
        </is>
      </c>
      <c r="B5" s="20">
        <f>重置成本!C7</f>
        <v/>
      </c>
      <c r="C5" s="21" t="inlineStr">
        <is>
          <t>仅建筑物部分; 跨表引用</t>
        </is>
      </c>
    </row>
    <row r="6">
      <c r="A6" s="7" t="inlineStr">
        <is>
          <t>预计净残值 S (元/m²)</t>
        </is>
      </c>
      <c r="B6" s="22" t="n"/>
      <c r="C6" s="21" t="inlineStr">
        <is>
          <t>建筑物拆除后可回收的净残值</t>
        </is>
      </c>
    </row>
    <row r="7">
      <c r="A7" s="7" t="inlineStr">
        <is>
          <t>有效年龄 t (年)</t>
        </is>
      </c>
      <c r="B7" s="23" t="n"/>
      <c r="C7" s="21" t="inlineStr">
        <is>
          <t>现场查勘判断(4.4.14条), 不等于建成年代</t>
        </is>
      </c>
    </row>
    <row r="8">
      <c r="A8" s="7" t="inlineStr">
        <is>
          <t>经济寿命 N (年)</t>
        </is>
      </c>
      <c r="B8" s="22" t="n"/>
      <c r="C8" s="21" t="inlineStr">
        <is>
          <t>土地使用权届满则取剩余年限</t>
        </is>
      </c>
    </row>
    <row r="9">
      <c r="A9" s="7" t="inlineStr">
        <is>
          <t>成新率 q</t>
        </is>
      </c>
      <c r="B9" s="22" t="n"/>
      <c r="C9" s="21" t="inlineStr">
        <is>
          <t>仅成新折扣法需填; 范围0~1</t>
        </is>
      </c>
    </row>
    <row r="11">
      <c r="A11" s="17" t="inlineStr">
        <is>
          <t>折旧结果</t>
        </is>
      </c>
    </row>
    <row r="12">
      <c r="A12" s="5" t="inlineStr">
        <is>
          <t>折旧类型</t>
        </is>
      </c>
      <c r="B12" s="5" t="inlineStr">
        <is>
          <t>金额 (元/m²)</t>
        </is>
      </c>
      <c r="C12" s="5" t="inlineStr">
        <is>
          <t>原因</t>
        </is>
      </c>
    </row>
    <row r="13">
      <c r="A13" s="7" t="inlineStr">
        <is>
          <t>直线法折旧(年龄-寿命)</t>
        </is>
      </c>
      <c r="B13" s="20">
        <f>ROUND((B5-B6)*MAX(0,MIN(1,B7/B8)),0)</f>
        <v/>
      </c>
      <c r="C13" s="19" t="inlineStr">
        <is>
          <t>D = (C-S) × t/N。有效年龄≤经济寿命</t>
        </is>
      </c>
    </row>
    <row r="14">
      <c r="A14" s="7" t="inlineStr">
        <is>
          <t>成新折扣法折旧</t>
        </is>
      </c>
      <c r="B14" s="20">
        <f>ROUND(B5*(1-B9),0)</f>
        <v/>
      </c>
      <c r="C14" s="19" t="inlineStr">
        <is>
          <t>D = C × (1-q)。q=成新率</t>
        </is>
      </c>
    </row>
    <row r="15">
      <c r="A15" s="7" t="inlineStr">
        <is>
          <t>分解法 — 物质折旧</t>
        </is>
      </c>
      <c r="B15" s="22" t="n"/>
      <c r="C15" s="19" t="inlineStr">
        <is>
          <t>[原因: 结构老化/设备损坏/装修陈旧等]</t>
        </is>
      </c>
    </row>
    <row r="16">
      <c r="A16" s="7" t="inlineStr">
        <is>
          <t>分解法 — 功能折旧</t>
        </is>
      </c>
      <c r="B16" s="22" t="n"/>
      <c r="C16" s="19" t="inlineStr">
        <is>
          <t>[原因: 户型过时/层高低/无电梯等]</t>
        </is>
      </c>
    </row>
    <row r="17">
      <c r="A17" s="7" t="inlineStr">
        <is>
          <t>分解法 — 外部折旧</t>
        </is>
      </c>
      <c r="B17" s="22" t="n"/>
      <c r="C17" s="19" t="inlineStr">
        <is>
          <t>[原因: 污染/规划变更/周边衰退等]</t>
        </is>
      </c>
    </row>
    <row r="19">
      <c r="A19" s="24" t="inlineStr">
        <is>
          <t>折旧合计 (元/m²)</t>
        </is>
      </c>
      <c r="B19" s="25">
        <f>ROUND(IF(B4="年龄-寿命法",B13,IF(B4="成新折扣法",B14,B15+B16+B17)),0)</f>
        <v/>
      </c>
      <c r="C19" s="26" t="inlineStr">
        <is>
          <t>IF 自动切换三种方法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3">
    <mergeCell ref="A1:C1"/>
    <mergeCell ref="A11:C11"/>
    <mergeCell ref="A2:C2"/>
  </mergeCells>
  <dataValidations count="5">
    <dataValidation sqref="B4" showDropDown="0" showInputMessage="0" showErrorMessage="0" allowBlank="0" errorTitle="方法选择" error="请选择折旧方法" type="list">
      <formula1>"年龄-寿命法,成新折扣法,分解法"</formula1>
    </dataValidation>
    <dataValidation sqref="B6" showDropDown="0" showInputMessage="0" showErrorMessage="0" allowBlank="0" type="decimal" operator="greaterThanOrEqual">
      <formula1>0</formula1>
    </dataValidation>
    <dataValidation sqref="B7" showDropDown="0" showInputMessage="0" showErrorMessage="0" allowBlank="0" type="decimal" operator="greaterThanOrEqual">
      <formula1>0</formula1>
    </dataValidation>
    <dataValidation sqref="B8" showDropDown="0" showInputMessage="0" showErrorMessage="0" allowBlank="0" type="decimal" operator="greaterThanOrEqual">
      <formula1>0</formula1>
    </dataValidation>
    <dataValidation sqref="B9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30" customHeight="1">
      <c r="A1" s="1" t="inlineStr">
        <is>
          <t>成本价值</t>
        </is>
      </c>
    </row>
    <row r="3">
      <c r="A3" s="5" t="inlineStr">
        <is>
          <t>项目</t>
        </is>
      </c>
      <c r="B3" s="5" t="inlineStr">
        <is>
          <t>金额</t>
        </is>
      </c>
    </row>
    <row r="4">
      <c r="A4" s="7" t="inlineStr">
        <is>
          <t>重置成本合计 (元/m²)</t>
        </is>
      </c>
      <c r="B4" s="10">
        <f>重置成本!C14</f>
        <v/>
      </c>
    </row>
    <row r="5">
      <c r="A5" s="7" t="inlineStr">
        <is>
          <t>建筑物折旧合计 (元/m²)</t>
        </is>
      </c>
      <c r="B5" s="10">
        <f>折旧测算!B19</f>
        <v/>
      </c>
    </row>
    <row r="6">
      <c r="A6" s="7" t="inlineStr">
        <is>
          <t>权益状况调整 (元/m²)</t>
        </is>
      </c>
      <c r="B6" s="8" t="n"/>
    </row>
    <row r="7">
      <c r="A7" s="7" t="inlineStr">
        <is>
          <t>成本价值 (元/m²)</t>
        </is>
      </c>
      <c r="B7" s="27">
        <f>ROUND(B4-B5+B6,0)</f>
        <v/>
      </c>
    </row>
    <row r="9">
      <c r="A9" s="7" t="inlineStr">
        <is>
          <t>建筑总面积 (m²)</t>
        </is>
      </c>
      <c r="B9" s="8" t="n"/>
    </row>
    <row r="10">
      <c r="A10" s="7" t="inlineStr">
        <is>
          <t>成本总价值 (元)</t>
        </is>
      </c>
      <c r="B10" s="27">
        <f>ROUND(B7*B9,0)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1">
    <mergeCell ref="A1:B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2026-08-07T04:32:27Z</dcterms:created>
  <dcterms:modified xmlns:dcterms="http://purl.org/dc/terms/" xmlns:xsi="http://www.w3.org/2001/XMLSchema-instance" xsi:type="dcterms:W3CDTF">2026-08-07T04:32:28Z</dcterms:modified>
</cp:coreProperties>
</file>