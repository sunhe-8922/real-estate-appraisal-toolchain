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比实例数据" sheetId="1" state="visible" r:id="rId1"/>
    <sheet xmlns:r="http://schemas.openxmlformats.org/officeDocument/2006/relationships" name="比较价值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FF"/>
      <sz val="11"/>
    </font>
    <font>
      <name val="Arial"/>
      <color rgb="00000000"/>
      <sz val="11"/>
    </font>
    <font>
      <name val="Arial"/>
      <i val="1"/>
      <color rgb="00333333"/>
      <sz val="9"/>
    </font>
    <font>
      <name val="Arial"/>
      <b val="1"/>
      <color rgb="00000000"/>
      <sz val="11"/>
    </font>
    <font>
      <name val="Arial"/>
      <i val="1"/>
      <color rgb="00666666"/>
      <sz val="9"/>
    </font>
    <font>
      <name val="Arial"/>
      <i val="1"/>
      <color rgb="00FF0000"/>
      <sz val="9"/>
    </font>
    <font>
      <name val="Arial"/>
      <color rgb="00666666"/>
      <sz val="9"/>
    </font>
    <font>
      <name val="Arial"/>
      <color rgb="00FF0000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applyProtection="1" pivotButton="0" quotePrefix="0" xfId="0">
      <alignment horizontal="left" vertical="center" wrapText="1"/>
      <protection locked="0" hidden="0"/>
    </xf>
    <xf numFmtId="0" fontId="3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b val="1"/>
        <color rgb="00FF000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GB/T 50291-2015</author>
  </authors>
  <commentList>
    <comment ref="A6" authorId="0" shapeId="0">
      <text>
        <t>4.2.3条: 可比实例≥3个。成交价格为正常成交价格或可修正为正常成交价格。</t>
      </text>
    </comment>
    <comment ref="A7" authorId="0" shapeId="0">
      <text>
        <t>4.2.10条: 建立比较基础，统一财产范围/付款方式/融资条件/税费负担/计价单位。</t>
      </text>
    </comment>
    <comment ref="A8" authorId="0" shapeId="0">
      <text>
        <t>4.2.11条: 交易情况修正。正常交易=100，非正常交易据实调整，单项≤±20%。</t>
      </text>
    </comment>
    <comment ref="A9" authorId="0" shapeId="0">
      <text>
        <t>4.2.12条: 市场状况调整。同质房地产价格指数、变动率调整，距价值时点≤2年。</t>
      </text>
    </comment>
    <comment ref="A10" authorId="0" shapeId="0">
      <text>
        <t>4.2.13条: 区位状况调整。位置/交通/配套/环境/楼层/朝向。</t>
      </text>
    </comment>
    <comment ref="A11" authorId="0" shapeId="0">
      <text>
        <t>4.2.13条: 实物状况调整。面积/结构/装修/新旧程度/布局。</t>
      </text>
    </comment>
    <comment ref="A12" authorId="0" shapeId="0">
      <text>
        <t>4.2.13条: 权益状况调整。规划/年限/共有/租赁/查封/地役权。</t>
      </text>
    </comment>
    <comment ref="A13" authorId="0" shapeId="0">
      <text>
        <t>公式: 比较价格 = 成交价格 × 各项修正系数连乘。</t>
      </text>
    </comment>
    <comment ref="A14" authorId="0" shapeId="0">
      <text>
        <t>4.2.15条第1款: 综合修正幅度≤30%，超标需说明。</t>
      </text>
    </comment>
  </commentList>
</comments>
</file>

<file path=xl/comments/comment2.xml><?xml version="1.0" encoding="utf-8"?>
<comments xmlns="http://schemas.openxmlformats.org/spreadsheetml/2006/main">
  <authors>
    <author>valuation</author>
    <author>GB/T 50291-2015</author>
  </authors>
  <commentList>
    <comment ref="A4" authorId="0" shapeId="0">
      <text>
        <t>简单算术平均，适用于各实例可比性相近。</t>
      </text>
    </comment>
    <comment ref="A6" authorId="0" shapeId="0">
      <text>
        <t>中位数不受极端值影响，推荐用作主要参考。</t>
      </text>
    </comment>
    <comment ref="B8" authorId="1" shapeId="0">
      <text>
        <t>输入各可比实例权重(百分比)，合计应为100%</t>
      </text>
    </comment>
    <comment ref="A10" authorId="1" shapeId="0">
      <text>
        <t>4.2.15条第3款: 各可比实例经修正调整后的价格比值≤1.2。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比较法测算表</t>
        </is>
      </c>
    </row>
    <row r="2">
      <c r="A2" s="2" t="inlineStr">
        <is>
          <t>估价对象: [请输入地址]</t>
        </is>
      </c>
      <c r="C2" s="2" t="inlineStr">
        <is>
          <t>价值时点: [请输入日期]</t>
        </is>
      </c>
      <c r="E2" s="3" t="inlineStr">
        <is>
          <t>单位: 元/m²</t>
        </is>
      </c>
    </row>
    <row r="3">
      <c r="A3" s="4" t="inlineStr">
        <is>
          <t>图例: 蓝色字=可修改输入  |  黑色字=公式自动计算  |  黄色底=关键参数</t>
        </is>
      </c>
    </row>
    <row r="5" ht="24" customHeight="1">
      <c r="A5" s="5" t="inlineStr">
        <is>
          <t>项目</t>
        </is>
      </c>
      <c r="B5" s="5" t="inlineStr">
        <is>
          <t>实例A</t>
        </is>
      </c>
      <c r="C5" s="5" t="inlineStr">
        <is>
          <t>实例B</t>
        </is>
      </c>
      <c r="D5" s="5" t="inlineStr">
        <is>
          <t>实例C</t>
        </is>
      </c>
      <c r="E5" s="5" t="inlineStr">
        <is>
          <t>实例D</t>
        </is>
      </c>
      <c r="F5" s="5" t="inlineStr">
        <is>
          <t>数据来源</t>
        </is>
      </c>
    </row>
    <row r="6">
      <c r="A6" s="6" t="inlineStr">
        <is>
          <t>成交价格 (元/m²)</t>
        </is>
      </c>
      <c r="B6" s="7" t="inlineStr">
        <is>
          <t>如: 25000</t>
        </is>
      </c>
      <c r="C6" s="7" t="n"/>
      <c r="D6" s="7" t="n"/>
      <c r="E6" s="7" t="n"/>
      <c r="F6" s="8" t="inlineStr">
        <is>
          <t>可比实例实际成交单价，需≥3个</t>
        </is>
      </c>
    </row>
    <row r="7">
      <c r="A7" s="6" t="inlineStr">
        <is>
          <t>标准化调整系数</t>
        </is>
      </c>
      <c r="B7" s="7" t="inlineStr">
        <is>
          <t>1.00</t>
        </is>
      </c>
      <c r="C7" s="7" t="n"/>
      <c r="D7" s="7" t="n"/>
      <c r="E7" s="7" t="n"/>
      <c r="F7" s="8" t="inlineStr">
        <is>
          <t>财产范围/付款方式/融资条件/税费负担/计价单位统一</t>
        </is>
      </c>
    </row>
    <row r="8">
      <c r="A8" s="6" t="inlineStr">
        <is>
          <t>交易情况修正系数</t>
        </is>
      </c>
      <c r="B8" s="7" t="inlineStr">
        <is>
          <t>1.00</t>
        </is>
      </c>
      <c r="C8" s="7" t="n"/>
      <c r="D8" s="7" t="n"/>
      <c r="E8" s="7" t="n"/>
      <c r="F8" s="8" t="inlineStr">
        <is>
          <t>正常交易=1.00; 异常交易据实调整; 范围0.80~1.20 (≤±20%)</t>
        </is>
      </c>
    </row>
    <row r="9">
      <c r="A9" s="6" t="inlineStr">
        <is>
          <t>市场状况调整系数</t>
        </is>
      </c>
      <c r="B9" s="7" t="inlineStr">
        <is>
          <t>1.00</t>
        </is>
      </c>
      <c r="C9" s="7" t="n"/>
      <c r="D9" s="7" t="n"/>
      <c r="E9" s="7" t="n"/>
      <c r="F9" s="8" t="inlineStr">
        <is>
          <t>成交日至价值时点价格指数比值; 距价值时点≤2年</t>
        </is>
      </c>
    </row>
    <row r="10">
      <c r="A10" s="6" t="inlineStr">
        <is>
          <t>区位状况调整系数</t>
        </is>
      </c>
      <c r="B10" s="7" t="inlineStr">
        <is>
          <t>1.00</t>
        </is>
      </c>
      <c r="C10" s="7" t="n"/>
      <c r="D10" s="7" t="n"/>
      <c r="E10" s="7" t="n"/>
      <c r="F10" s="8" t="inlineStr">
        <is>
          <t>位置/交通/配套/环境/楼层/朝向; 范围0.80~1.20</t>
        </is>
      </c>
    </row>
    <row r="11">
      <c r="A11" s="6" t="inlineStr">
        <is>
          <t>实物状况调整系数</t>
        </is>
      </c>
      <c r="B11" s="7" t="inlineStr">
        <is>
          <t>1.00</t>
        </is>
      </c>
      <c r="C11" s="7" t="n"/>
      <c r="D11" s="7" t="n"/>
      <c r="E11" s="7" t="n"/>
      <c r="F11" s="8" t="inlineStr">
        <is>
          <t>面积/结构/装修/新旧/布局; 范围0.80~1.20</t>
        </is>
      </c>
    </row>
    <row r="12">
      <c r="A12" s="6" t="inlineStr">
        <is>
          <t>权益状况调整系数</t>
        </is>
      </c>
      <c r="B12" s="7" t="inlineStr">
        <is>
          <t>1.00</t>
        </is>
      </c>
      <c r="C12" s="7" t="n"/>
      <c r="D12" s="7" t="n"/>
      <c r="E12" s="7" t="n"/>
      <c r="F12" s="8" t="inlineStr">
        <is>
          <t>规划/年限/共有/租赁/查封; 范围0.80~1.20</t>
        </is>
      </c>
    </row>
    <row r="13" ht="22" customHeight="1">
      <c r="A13" s="6" t="inlineStr">
        <is>
          <t>比较价格 (元/m²)</t>
        </is>
      </c>
      <c r="B13" s="9">
        <f>B6*B7*B8*B9*B10*B11*B12</f>
        <v/>
      </c>
      <c r="C13" s="9">
        <f>C6*C7*C8*C9*C10*C11*C12</f>
        <v/>
      </c>
      <c r="D13" s="9">
        <f>D6*D7*D8*D9*D10*D11*D12</f>
        <v/>
      </c>
      <c r="E13" s="9">
        <f>E6*E7*E8*E9*E10*E11*E12</f>
        <v/>
      </c>
      <c r="F13" s="10" t="inlineStr">
        <is>
          <t>公式: 成交价×五项修正系数连乘</t>
        </is>
      </c>
    </row>
    <row r="14" ht="22" customHeight="1">
      <c r="A14" s="6" t="inlineStr">
        <is>
          <t>综合修正幅度</t>
        </is>
      </c>
      <c r="B14" s="11">
        <f>ABS(B13/B6-1)</f>
        <v/>
      </c>
      <c r="C14" s="11">
        <f>ABS(C13/C6-1)</f>
        <v/>
      </c>
      <c r="D14" s="11">
        <f>ABS(D13/D6-1)</f>
        <v/>
      </c>
      <c r="E14" s="11">
        <f>ABS(E13/E6-1)</f>
        <v/>
      </c>
      <c r="F14" s="12" t="inlineStr">
        <is>
          <t>红线≤30%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5">
    <mergeCell ref="A2:B2"/>
    <mergeCell ref="C2:D2"/>
    <mergeCell ref="E2:F2"/>
    <mergeCell ref="A1:F1"/>
    <mergeCell ref="A3:F3"/>
  </mergeCells>
  <conditionalFormatting sqref="B14">
    <cfRule type="cellIs" priority="1" operator="greaterThan" dxfId="0">
      <formula>0.30</formula>
    </cfRule>
  </conditionalFormatting>
  <conditionalFormatting sqref="C14">
    <cfRule type="cellIs" priority="2" operator="greaterThan" dxfId="0">
      <formula>0.30</formula>
    </cfRule>
  </conditionalFormatting>
  <conditionalFormatting sqref="D14">
    <cfRule type="cellIs" priority="3" operator="greaterThan" dxfId="0">
      <formula>0.30</formula>
    </cfRule>
  </conditionalFormatting>
  <conditionalFormatting sqref="E14">
    <cfRule type="cellIs" priority="4" operator="greaterThan" dxfId="0">
      <formula>0.30</formula>
    </cfRule>
  </conditionalFormatting>
  <dataValidations count="2">
    <dataValidation sqref="B6 C6 D6 E6" showDropDown="0" showInputMessage="0" showErrorMessage="0" allowBlank="0" errorTitle="输入错误" error="成交价格必须大于0" type="decimal" operator="greaterThan">
      <formula1>0</formula1>
    </dataValidation>
    <dataValidation sqref="B7 B8 B9 B10 B11 B12 C7 C8 C9 C10 C11 C12 D7 D8 D9 D10 D11 D12 E7 E8 E9 E10 E11 E12" showDropDown="0" showInputMessage="0" showErrorMessage="0" allowBlank="0" errorTitle="红线约束" error="修正系数应在0.80~1.20之间 (±20%)" type="decimal" operator="between">
      <formula1>0.80</formula1>
      <formula2>1.20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</cols>
  <sheetData>
    <row r="1" ht="30" customHeight="1">
      <c r="A1" s="1" t="inlineStr">
        <is>
          <t>比较价值汇总</t>
        </is>
      </c>
    </row>
    <row r="3">
      <c r="A3" s="5" t="inlineStr">
        <is>
          <t>指标</t>
        </is>
      </c>
      <c r="B3" s="5" t="inlineStr">
        <is>
          <t>数值</t>
        </is>
      </c>
      <c r="C3" s="5" t="inlineStr">
        <is>
          <t>红线</t>
        </is>
      </c>
    </row>
    <row r="4">
      <c r="A4" s="13" t="inlineStr">
        <is>
          <t>比较价值-算术平均 (元/m²)</t>
        </is>
      </c>
      <c r="B4" s="9">
        <f>AVERAGE(可比实例数据!B13:E13)</f>
        <v/>
      </c>
      <c r="C4" s="14" t="inlineStr">
        <is>
          <t>—</t>
        </is>
      </c>
    </row>
    <row r="5">
      <c r="A5" s="13" t="inlineStr">
        <is>
          <t>比较价值-加权平均 (元/m²)</t>
        </is>
      </c>
      <c r="B5" s="9">
        <f>SUMPRODUCT(可比实例数据!B13:E13*{1,1,1,1})/SUMPRODUCT({1,1,1,1})</f>
        <v/>
      </c>
      <c r="C5" s="14" t="inlineStr">
        <is>
          <t>—</t>
        </is>
      </c>
    </row>
    <row r="6">
      <c r="A6" s="13" t="inlineStr">
        <is>
          <t>比较价值-中位数 (元/m²)</t>
        </is>
      </c>
      <c r="B6" s="9">
        <f>MEDIAN(可比实例数据!B13:E13)</f>
        <v/>
      </c>
      <c r="C6" s="14" t="inlineStr">
        <is>
          <t>—</t>
        </is>
      </c>
    </row>
    <row r="8">
      <c r="A8" s="13" t="inlineStr">
        <is>
          <t>权重 A/B/C/D</t>
        </is>
      </c>
      <c r="B8" s="15" t="n"/>
      <c r="C8" s="14" t="inlineStr">
        <is>
          <t>合计100%</t>
        </is>
      </c>
    </row>
    <row r="10">
      <c r="A10" s="13" t="inlineStr">
        <is>
          <t>最高价/最低价 极差比</t>
        </is>
      </c>
      <c r="B10" s="9">
        <f>IF(COUNT(可比实例数据!B13:E13)&gt;=2,MAX(可比实例数据!B13:E13)/MIN(可比实例数据!B13:E13),"需≥2个实例")</f>
        <v/>
      </c>
      <c r="C10" s="16" t="inlineStr">
        <is>
          <t>≤1.2</t>
        </is>
      </c>
    </row>
    <row r="11">
      <c r="A11" s="13" t="inlineStr">
        <is>
          <t>综合修正幅度-最大</t>
        </is>
      </c>
      <c r="B11" s="9">
        <f>MAX(可比实例数据!B14:E14)</f>
        <v/>
      </c>
      <c r="C11" s="16" t="inlineStr">
        <is>
          <t>≤30%</t>
        </is>
      </c>
    </row>
    <row r="12">
      <c r="A12" s="13" t="inlineStr">
        <is>
          <t>单项修正幅度-最大</t>
        </is>
      </c>
      <c r="B12" s="9">
        <f>MAX(ABS(可比实例数据!B8-1),ABS(可比实例数据!B9-1),ABS(可比实例数据!B10-1),ABS(可比实例数据!B11-1),ABS(可比实例数据!B12-1))</f>
        <v/>
      </c>
      <c r="C12" s="16" t="inlineStr">
        <is>
          <t>≤20%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">
    <mergeCell ref="A1:C1"/>
  </mergeCells>
  <conditionalFormatting sqref="B10">
    <cfRule type="cellIs" priority="1" operator="greaterThan" dxfId="0">
      <formula>1.2</formula>
    </cfRule>
  </conditionalFormatting>
  <conditionalFormatting sqref="B11">
    <cfRule type="cellIs" priority="2" operator="greaterThan" dxfId="0">
      <formula>0.30</formula>
    </cfRule>
  </conditionalFormatting>
  <conditionalFormatting sqref="B12">
    <cfRule type="cellIs" priority="3" operator="greaterThan" dxfId="0">
      <formula>0.20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2026-08-07T04:17:02Z</dcterms:created>
  <dcterms:modified xmlns:dcterms="http://purl.org/dc/terms/" xmlns:xsi="http://www.w3.org/2001/XMLSchema-instance" xsi:type="dcterms:W3CDTF">2026-08-07T04:17:02Z</dcterms:modified>
</cp:coreProperties>
</file>