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净收益测算" sheetId="1" state="visible" r:id="rId1"/>
    <sheet name="收益价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FF"/>
      <sz val="11"/>
    </font>
    <font>
      <name val="Arial"/>
      <i val="1"/>
      <color rgb="00333333"/>
      <sz val="9"/>
    </font>
    <font>
      <name val="Arial"/>
      <b val="1"/>
      <color rgb="00000000"/>
      <sz val="11"/>
    </font>
    <font>
      <name val="Arial"/>
      <i val="1"/>
      <color rgb="00666666"/>
      <sz val="9"/>
    </font>
    <font>
      <name val="Arial"/>
      <color rgb="00000000"/>
      <sz val="11"/>
    </font>
    <font>
      <name val="Arial"/>
      <color rgb="00666666"/>
      <sz val="9"/>
    </font>
    <font>
      <name val="Arial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10" fontId="2" fillId="5" borderId="0" pivotButton="0" quotePrefix="0" xfId="0"/>
    <xf numFmtId="0" fontId="7" fillId="0" borderId="0" pivotButton="0" quotePrefix="0" xfId="0"/>
    <xf numFmtId="1" fontId="2" fillId="5" borderId="0" pivotButton="0" quotePrefix="0" xfId="0"/>
    <xf numFmtId="0" fontId="6" fillId="0" borderId="1" applyAlignment="1" pivotButton="0" quotePrefix="0" xfId="0">
      <alignment horizontal="center" vertical="center" wrapText="1"/>
    </xf>
    <xf numFmtId="3" fontId="6" fillId="0" borderId="1" pivotButton="0" quotePrefix="0" xfId="0"/>
    <xf numFmtId="165" fontId="6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3" fontId="8" fillId="5" borderId="0" pivotButton="0" quotePrefix="0" xfId="0"/>
    <xf numFmtId="0" fontId="4" fillId="0" borderId="0" pivotButton="0" quotePrefix="0" xfId="0"/>
    <xf numFmtId="3" fontId="2" fillId="5" borderId="0" pivotButton="0" quotePrefix="0" xfId="0"/>
    <xf numFmtId="10" fontId="2" fillId="0" borderId="0" pivotButton="0" quotePrefix="0" xfId="0"/>
    <xf numFmtId="3" fontId="6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GB/T 50291-2015</author>
  </authors>
  <commentList>
    <comment ref="B6" authorId="0" shapeId="0">
      <text>
        <t>4.3.7条: 潜在毛租金收入 = 可出租面积 × 市场租金水平。应调查周边同类物业实际租金。</t>
      </text>
    </comment>
    <comment ref="B7" authorId="0" shapeId="0">
      <text>
        <t>4.3.8条: 空置和收租损失按同类物业正常客观水平确定。</t>
      </text>
    </comment>
    <comment ref="B18" authorId="0" shapeId="0">
      <text>
        <t>4.3.9条: 净收益 = 有效毛收入 - 运营费用。各项收入/费用均取正常客观值(4.3.10条)。</t>
      </text>
    </comment>
    <comment ref="B19" authorId="0" shapeId="0">
      <text>
        <t>4.3.11条: 必须调查近三年实际收入/费用数据，作为预测验证依据。</t>
      </text>
    </comment>
  </commentList>
</comments>
</file>

<file path=xl/comments/comment2.xml><?xml version="1.0" encoding="utf-8"?>
<comments xmlns="http://schemas.openxmlformats.org/spreadsheetml/2006/main">
  <authors>
    <author>GB/T 50291-2015</author>
  </authors>
  <commentList>
    <comment ref="C2" authorId="0" shapeId="0">
      <text>
        <t>报酬率确定方法: 市场提取法(≥3实例)/累加法/排序插入法。4.3.12-4.3.14条</t>
      </text>
    </comment>
    <comment ref="C3" authorId="0" shapeId="0">
      <text>
        <t>全剩余寿命模式=收益期; 持有加转售模式=持有期。土地使用权届满则取两者较短者。</t>
      </text>
    </comment>
    <comment ref="A68" authorId="0" shapeId="0">
      <text>
        <t>仅持有加转售模式需填。期末转售收益不得用成本法测算(4.5.7条)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</cols>
  <sheetData>
    <row r="1" ht="30" customHeight="1">
      <c r="A1" s="1" t="inlineStr">
        <is>
          <t>净收益测算</t>
        </is>
      </c>
    </row>
    <row r="2">
      <c r="A2" s="2" t="inlineStr">
        <is>
          <t>估价对象: [请输入地址]</t>
        </is>
      </c>
      <c r="C2" s="2" t="inlineStr">
        <is>
          <t>价值时点: [请输入日期]</t>
        </is>
      </c>
    </row>
    <row r="3">
      <c r="A3" s="3" t="inlineStr">
        <is>
          <t>图例: 蓝色字=可修改输入  |  黑色字=公式自动计算  |  黄色底=关键参数</t>
        </is>
      </c>
    </row>
    <row r="5">
      <c r="A5" s="4" t="inlineStr">
        <is>
          <t>项目</t>
        </is>
      </c>
      <c r="B5" s="4" t="inlineStr">
        <is>
          <t>数值</t>
        </is>
      </c>
      <c r="C5" s="4" t="inlineStr">
        <is>
          <t>数据来源</t>
        </is>
      </c>
    </row>
    <row r="6">
      <c r="A6" s="5" t="inlineStr">
        <is>
          <t>潜在毛租金收入 (元/m²·年)</t>
        </is>
      </c>
      <c r="B6" s="6" t="n">
        <v>600</v>
      </c>
      <c r="C6" s="7" t="inlineStr">
        <is>
          <t>4.3.7条: 租赁收入法; 来源: 市场调查/合同</t>
        </is>
      </c>
    </row>
    <row r="7">
      <c r="A7" s="5" t="inlineStr">
        <is>
          <t>空置和收租损失率</t>
        </is>
      </c>
      <c r="B7" s="8" t="n">
        <v>0.05</v>
      </c>
      <c r="C7" s="7" t="inlineStr">
        <is>
          <t>4.3.8条; 区域空置率调查</t>
        </is>
      </c>
    </row>
    <row r="8">
      <c r="A8" s="5" t="inlineStr">
        <is>
          <t>有效毛收入 (元/m²·年)</t>
        </is>
      </c>
      <c r="B8" s="9">
        <f>ROUND(B6*(1-B7),0)</f>
        <v/>
      </c>
      <c r="C8" s="7" t="inlineStr">
        <is>
          <t>公式</t>
        </is>
      </c>
    </row>
    <row r="9">
      <c r="A9" s="5" t="inlineStr">
        <is>
          <t>其他收入 (元/m²·年)</t>
        </is>
      </c>
      <c r="B9" s="6" t="n">
        <v>50</v>
      </c>
      <c r="C9" s="7" t="inlineStr">
        <is>
          <t>押金利息/停车费/广告位等</t>
        </is>
      </c>
    </row>
    <row r="10">
      <c r="A10" s="5" t="inlineStr">
        <is>
          <t>房地产税</t>
        </is>
      </c>
      <c r="B10" s="6" t="n"/>
      <c r="C10" s="7" t="inlineStr">
        <is>
          <t>城市房地产税/城镇土地使用税</t>
        </is>
      </c>
    </row>
    <row r="11">
      <c r="A11" s="5" t="inlineStr">
        <is>
          <t>房屋保险费</t>
        </is>
      </c>
      <c r="B11" s="6" t="n"/>
      <c r="C11" s="7" t="inlineStr">
        <is>
          <t>建筑物及设备保险费</t>
        </is>
      </c>
    </row>
    <row r="12">
      <c r="A12" s="5" t="inlineStr">
        <is>
          <t>物业服务费</t>
        </is>
      </c>
      <c r="B12" s="6" t="n"/>
      <c r="C12" s="7" t="inlineStr">
        <is>
          <t>物业管理公司收费</t>
        </is>
      </c>
    </row>
    <row r="13">
      <c r="A13" s="5" t="inlineStr">
        <is>
          <t>管理费用</t>
        </is>
      </c>
      <c r="B13" s="6" t="n"/>
      <c r="C13" s="7" t="inlineStr">
        <is>
          <t>管理人员工资/办公费等</t>
        </is>
      </c>
    </row>
    <row r="14">
      <c r="A14" s="5" t="inlineStr">
        <is>
          <t>维修费</t>
        </is>
      </c>
      <c r="B14" s="6" t="n"/>
      <c r="C14" s="7" t="inlineStr">
        <is>
          <t>日常维修和大修基金</t>
        </is>
      </c>
    </row>
    <row r="15">
      <c r="A15" s="5" t="inlineStr">
        <is>
          <t>水电费</t>
        </is>
      </c>
      <c r="B15" s="6" t="n"/>
      <c r="C15" s="7" t="inlineStr">
        <is>
          <t>公共区域水电</t>
        </is>
      </c>
    </row>
    <row r="16">
      <c r="A16" s="5" t="inlineStr">
        <is>
          <t>其他运营费用</t>
        </is>
      </c>
      <c r="B16" s="6" t="n"/>
      <c r="C16" s="7" t="inlineStr">
        <is>
          <t>其他正常运营必要支出</t>
        </is>
      </c>
    </row>
    <row r="17">
      <c r="A17" s="5" t="inlineStr">
        <is>
          <t>运营费用合计</t>
        </is>
      </c>
      <c r="B17" s="9">
        <f>ROUND(SUM(B10:B16),0)</f>
        <v/>
      </c>
      <c r="C17" s="7" t="inlineStr">
        <is>
          <t>公式</t>
        </is>
      </c>
    </row>
    <row r="18">
      <c r="A18" s="5" t="inlineStr">
        <is>
          <t>净收益 NOI (元/m²·年)</t>
        </is>
      </c>
      <c r="B18" s="10">
        <f>ROUND(B8+B9-B17,0)</f>
        <v/>
      </c>
      <c r="C18" s="7" t="inlineStr">
        <is>
          <t>4.3.9条: 净收益 = 有效毛收入 - 运营费用</t>
        </is>
      </c>
    </row>
    <row r="19">
      <c r="A19" s="5" t="inlineStr">
        <is>
          <t>最近三年实际净收益: Y-2</t>
        </is>
      </c>
      <c r="B19" s="6" t="n"/>
      <c r="C19" s="7" t="inlineStr">
        <is>
          <t>4.3.11条: 必须调查近三年实际数据</t>
        </is>
      </c>
    </row>
    <row r="20">
      <c r="A20" s="5" t="inlineStr">
        <is>
          <t>最近三年实际净收益: Y-1</t>
        </is>
      </c>
      <c r="B20" s="6" t="n"/>
      <c r="C20" s="7" t="inlineStr">
        <is>
          <t>与预测值差异需分析修正</t>
        </is>
      </c>
    </row>
    <row r="21">
      <c r="A21" s="5" t="inlineStr">
        <is>
          <t>最近三年实际净收益: Y-0</t>
        </is>
      </c>
      <c r="B21" s="6" t="n"/>
      <c r="C21" s="7" t="inlineStr">
        <is>
          <t>以正常客观值为准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3">
    <mergeCell ref="A1:C1"/>
    <mergeCell ref="A3:C3"/>
    <mergeCell ref="A2:B2"/>
  </mergeCells>
  <dataValidations count="2">
    <dataValidation sqref="B7" showDropDown="0" showInputMessage="0" showErrorMessage="0" allowBlank="0" errorTitle="输入错误" error="空置率应在0~100%之间" type="decimal" operator="between">
      <formula1>0</formula1>
      <formula2>1</formula2>
    </dataValidation>
    <dataValidation sqref="B6 B9 B10 B11 B12 B13 B14 B15 B16 B19 B20 B21" showDropDown="0" showInputMessage="0" showErrorMessage="0" allowBlank="0" error="数值不能为负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22" customWidth="1" min="5" max="5"/>
  </cols>
  <sheetData>
    <row r="1" ht="30" customHeight="1">
      <c r="A1" s="1" t="inlineStr">
        <is>
          <t>收益价值计算</t>
        </is>
      </c>
    </row>
    <row r="2">
      <c r="A2" s="5" t="inlineStr">
        <is>
          <t>报酬率 Y</t>
        </is>
      </c>
      <c r="C2" s="11" t="n"/>
      <c r="D2" s="12" t="inlineStr">
        <is>
          <t>方法: [市场提取/累加/排序]</t>
        </is>
      </c>
    </row>
    <row r="3">
      <c r="A3" s="5" t="inlineStr">
        <is>
          <t>收益期 (年)</t>
        </is>
      </c>
      <c r="C3" s="13" t="n"/>
      <c r="D3" s="12" t="inlineStr">
        <is>
          <t>模式: [全剩余寿命/持有加转售]</t>
        </is>
      </c>
    </row>
    <row r="5">
      <c r="A5" s="4" t="inlineStr">
        <is>
          <t>期数</t>
        </is>
      </c>
      <c r="B5" s="4" t="inlineStr">
        <is>
          <t>净收益 (元/m²)</t>
        </is>
      </c>
      <c r="C5" s="4" t="inlineStr">
        <is>
          <t>折现系数</t>
        </is>
      </c>
      <c r="D5" s="4" t="inlineStr">
        <is>
          <t>现值 (元/m²)</t>
        </is>
      </c>
      <c r="E5" s="4" t="inlineStr">
        <is>
          <t>备注</t>
        </is>
      </c>
    </row>
    <row r="6">
      <c r="A6" s="14" t="n">
        <v>1</v>
      </c>
      <c r="B6" s="15">
        <f>ROUND(IF(A6&lt;=$C$3, 净收益测算!B18, 0),0)</f>
        <v/>
      </c>
      <c r="C6" s="16">
        <f>IF(A6&lt;=$C$3,1/(1+$C$2)^A6,0)</f>
        <v/>
      </c>
      <c r="D6" s="15">
        <f>ROUND(B6*C6,0)</f>
        <v/>
      </c>
    </row>
    <row r="7">
      <c r="A7" s="14" t="n">
        <v>2</v>
      </c>
      <c r="B7" s="15">
        <f>ROUND(IF(A7&lt;=$C$3, 净收益测算!B18, 0),0)</f>
        <v/>
      </c>
      <c r="C7" s="16">
        <f>IF(A7&lt;=$C$3,1/(1+$C$2)^A7,0)</f>
        <v/>
      </c>
      <c r="D7" s="15">
        <f>ROUND(B7*C7,0)</f>
        <v/>
      </c>
    </row>
    <row r="8">
      <c r="A8" s="14" t="n">
        <v>3</v>
      </c>
      <c r="B8" s="15">
        <f>ROUND(IF(A8&lt;=$C$3, 净收益测算!B18, 0),0)</f>
        <v/>
      </c>
      <c r="C8" s="16">
        <f>IF(A8&lt;=$C$3,1/(1+$C$2)^A8,0)</f>
        <v/>
      </c>
      <c r="D8" s="15">
        <f>ROUND(B8*C8,0)</f>
        <v/>
      </c>
    </row>
    <row r="9">
      <c r="A9" s="14" t="n">
        <v>4</v>
      </c>
      <c r="B9" s="15">
        <f>ROUND(IF(A9&lt;=$C$3, 净收益测算!B18, 0),0)</f>
        <v/>
      </c>
      <c r="C9" s="16">
        <f>IF(A9&lt;=$C$3,1/(1+$C$2)^A9,0)</f>
        <v/>
      </c>
      <c r="D9" s="15">
        <f>ROUND(B9*C9,0)</f>
        <v/>
      </c>
    </row>
    <row r="10">
      <c r="A10" s="14" t="n">
        <v>5</v>
      </c>
      <c r="B10" s="15">
        <f>ROUND(IF(A10&lt;=$C$3, 净收益测算!B18, 0),0)</f>
        <v/>
      </c>
      <c r="C10" s="16">
        <f>IF(A10&lt;=$C$3,1/(1+$C$2)^A10,0)</f>
        <v/>
      </c>
      <c r="D10" s="15">
        <f>ROUND(B10*C10,0)</f>
        <v/>
      </c>
    </row>
    <row r="11">
      <c r="A11" s="14" t="n">
        <v>6</v>
      </c>
      <c r="B11" s="15">
        <f>ROUND(IF(A11&lt;=$C$3, 净收益测算!B18, 0),0)</f>
        <v/>
      </c>
      <c r="C11" s="16">
        <f>IF(A11&lt;=$C$3,1/(1+$C$2)^A11,0)</f>
        <v/>
      </c>
      <c r="D11" s="15">
        <f>ROUND(B11*C11,0)</f>
        <v/>
      </c>
    </row>
    <row r="12">
      <c r="A12" s="14" t="n">
        <v>7</v>
      </c>
      <c r="B12" s="15">
        <f>ROUND(IF(A12&lt;=$C$3, 净收益测算!B18, 0),0)</f>
        <v/>
      </c>
      <c r="C12" s="16">
        <f>IF(A12&lt;=$C$3,1/(1+$C$2)^A12,0)</f>
        <v/>
      </c>
      <c r="D12" s="15">
        <f>ROUND(B12*C12,0)</f>
        <v/>
      </c>
    </row>
    <row r="13">
      <c r="A13" s="14" t="n">
        <v>8</v>
      </c>
      <c r="B13" s="15">
        <f>ROUND(IF(A13&lt;=$C$3, 净收益测算!B18, 0),0)</f>
        <v/>
      </c>
      <c r="C13" s="16">
        <f>IF(A13&lt;=$C$3,1/(1+$C$2)^A13,0)</f>
        <v/>
      </c>
      <c r="D13" s="15">
        <f>ROUND(B13*C13,0)</f>
        <v/>
      </c>
    </row>
    <row r="14">
      <c r="A14" s="14" t="n">
        <v>9</v>
      </c>
      <c r="B14" s="15">
        <f>ROUND(IF(A14&lt;=$C$3, 净收益测算!B18, 0),0)</f>
        <v/>
      </c>
      <c r="C14" s="16">
        <f>IF(A14&lt;=$C$3,1/(1+$C$2)^A14,0)</f>
        <v/>
      </c>
      <c r="D14" s="15">
        <f>ROUND(B14*C14,0)</f>
        <v/>
      </c>
    </row>
    <row r="15">
      <c r="A15" s="14" t="n">
        <v>10</v>
      </c>
      <c r="B15" s="15">
        <f>ROUND(IF(A15&lt;=$C$3, 净收益测算!B18, 0),0)</f>
        <v/>
      </c>
      <c r="C15" s="16">
        <f>IF(A15&lt;=$C$3,1/(1+$C$2)^A15,0)</f>
        <v/>
      </c>
      <c r="D15" s="15">
        <f>ROUND(B15*C15,0)</f>
        <v/>
      </c>
    </row>
    <row r="16">
      <c r="A16" s="14" t="n">
        <v>11</v>
      </c>
      <c r="B16" s="15">
        <f>ROUND(IF(A16&lt;=$C$3, 净收益测算!B18, 0),0)</f>
        <v/>
      </c>
      <c r="C16" s="16">
        <f>IF(A16&lt;=$C$3,1/(1+$C$2)^A16,0)</f>
        <v/>
      </c>
      <c r="D16" s="15">
        <f>ROUND(B16*C16,0)</f>
        <v/>
      </c>
    </row>
    <row r="17">
      <c r="A17" s="14" t="n">
        <v>12</v>
      </c>
      <c r="B17" s="15">
        <f>ROUND(IF(A17&lt;=$C$3, 净收益测算!B18, 0),0)</f>
        <v/>
      </c>
      <c r="C17" s="16">
        <f>IF(A17&lt;=$C$3,1/(1+$C$2)^A17,0)</f>
        <v/>
      </c>
      <c r="D17" s="15">
        <f>ROUND(B17*C17,0)</f>
        <v/>
      </c>
    </row>
    <row r="18">
      <c r="A18" s="14" t="n">
        <v>13</v>
      </c>
      <c r="B18" s="15">
        <f>ROUND(IF(A18&lt;=$C$3, 净收益测算!B18, 0),0)</f>
        <v/>
      </c>
      <c r="C18" s="16">
        <f>IF(A18&lt;=$C$3,1/(1+$C$2)^A18,0)</f>
        <v/>
      </c>
      <c r="D18" s="15">
        <f>ROUND(B18*C18,0)</f>
        <v/>
      </c>
    </row>
    <row r="19">
      <c r="A19" s="14" t="n">
        <v>14</v>
      </c>
      <c r="B19" s="15">
        <f>ROUND(IF(A19&lt;=$C$3, 净收益测算!B18, 0),0)</f>
        <v/>
      </c>
      <c r="C19" s="16">
        <f>IF(A19&lt;=$C$3,1/(1+$C$2)^A19,0)</f>
        <v/>
      </c>
      <c r="D19" s="15">
        <f>ROUND(B19*C19,0)</f>
        <v/>
      </c>
    </row>
    <row r="20">
      <c r="A20" s="14" t="n">
        <v>15</v>
      </c>
      <c r="B20" s="15">
        <f>ROUND(IF(A20&lt;=$C$3, 净收益测算!B18, 0),0)</f>
        <v/>
      </c>
      <c r="C20" s="16">
        <f>IF(A20&lt;=$C$3,1/(1+$C$2)^A20,0)</f>
        <v/>
      </c>
      <c r="D20" s="15">
        <f>ROUND(B20*C20,0)</f>
        <v/>
      </c>
    </row>
    <row r="21">
      <c r="A21" s="14" t="n">
        <v>16</v>
      </c>
      <c r="B21" s="15">
        <f>ROUND(IF(A21&lt;=$C$3, 净收益测算!B18, 0),0)</f>
        <v/>
      </c>
      <c r="C21" s="16">
        <f>IF(A21&lt;=$C$3,1/(1+$C$2)^A21,0)</f>
        <v/>
      </c>
      <c r="D21" s="15">
        <f>ROUND(B21*C21,0)</f>
        <v/>
      </c>
    </row>
    <row r="22">
      <c r="A22" s="14" t="n">
        <v>17</v>
      </c>
      <c r="B22" s="15">
        <f>ROUND(IF(A22&lt;=$C$3, 净收益测算!B18, 0),0)</f>
        <v/>
      </c>
      <c r="C22" s="16">
        <f>IF(A22&lt;=$C$3,1/(1+$C$2)^A22,0)</f>
        <v/>
      </c>
      <c r="D22" s="15">
        <f>ROUND(B22*C22,0)</f>
        <v/>
      </c>
    </row>
    <row r="23">
      <c r="A23" s="14" t="n">
        <v>18</v>
      </c>
      <c r="B23" s="15">
        <f>ROUND(IF(A23&lt;=$C$3, 净收益测算!B18, 0),0)</f>
        <v/>
      </c>
      <c r="C23" s="16">
        <f>IF(A23&lt;=$C$3,1/(1+$C$2)^A23,0)</f>
        <v/>
      </c>
      <c r="D23" s="15">
        <f>ROUND(B23*C23,0)</f>
        <v/>
      </c>
    </row>
    <row r="24">
      <c r="A24" s="14" t="n">
        <v>19</v>
      </c>
      <c r="B24" s="15">
        <f>ROUND(IF(A24&lt;=$C$3, 净收益测算!B18, 0),0)</f>
        <v/>
      </c>
      <c r="C24" s="16">
        <f>IF(A24&lt;=$C$3,1/(1+$C$2)^A24,0)</f>
        <v/>
      </c>
      <c r="D24" s="15">
        <f>ROUND(B24*C24,0)</f>
        <v/>
      </c>
    </row>
    <row r="25">
      <c r="A25" s="14" t="n">
        <v>20</v>
      </c>
      <c r="B25" s="15">
        <f>ROUND(IF(A25&lt;=$C$3, 净收益测算!B18, 0),0)</f>
        <v/>
      </c>
      <c r="C25" s="16">
        <f>IF(A25&lt;=$C$3,1/(1+$C$2)^A25,0)</f>
        <v/>
      </c>
      <c r="D25" s="15">
        <f>ROUND(B25*C25,0)</f>
        <v/>
      </c>
    </row>
    <row r="26">
      <c r="A26" s="14" t="n">
        <v>21</v>
      </c>
      <c r="B26" s="15">
        <f>ROUND(IF(A26&lt;=$C$3, 净收益测算!B18, 0),0)</f>
        <v/>
      </c>
      <c r="C26" s="16">
        <f>IF(A26&lt;=$C$3,1/(1+$C$2)^A26,0)</f>
        <v/>
      </c>
      <c r="D26" s="15">
        <f>ROUND(B26*C26,0)</f>
        <v/>
      </c>
    </row>
    <row r="27">
      <c r="A27" s="14" t="n">
        <v>22</v>
      </c>
      <c r="B27" s="15">
        <f>ROUND(IF(A27&lt;=$C$3, 净收益测算!B18, 0),0)</f>
        <v/>
      </c>
      <c r="C27" s="16">
        <f>IF(A27&lt;=$C$3,1/(1+$C$2)^A27,0)</f>
        <v/>
      </c>
      <c r="D27" s="15">
        <f>ROUND(B27*C27,0)</f>
        <v/>
      </c>
    </row>
    <row r="28">
      <c r="A28" s="14" t="n">
        <v>23</v>
      </c>
      <c r="B28" s="15">
        <f>ROUND(IF(A28&lt;=$C$3, 净收益测算!B18, 0),0)</f>
        <v/>
      </c>
      <c r="C28" s="16">
        <f>IF(A28&lt;=$C$3,1/(1+$C$2)^A28,0)</f>
        <v/>
      </c>
      <c r="D28" s="15">
        <f>ROUND(B28*C28,0)</f>
        <v/>
      </c>
    </row>
    <row r="29">
      <c r="A29" s="14" t="n">
        <v>24</v>
      </c>
      <c r="B29" s="15">
        <f>ROUND(IF(A29&lt;=$C$3, 净收益测算!B18, 0),0)</f>
        <v/>
      </c>
      <c r="C29" s="16">
        <f>IF(A29&lt;=$C$3,1/(1+$C$2)^A29,0)</f>
        <v/>
      </c>
      <c r="D29" s="15">
        <f>ROUND(B29*C29,0)</f>
        <v/>
      </c>
    </row>
    <row r="30">
      <c r="A30" s="14" t="n">
        <v>25</v>
      </c>
      <c r="B30" s="15">
        <f>ROUND(IF(A30&lt;=$C$3, 净收益测算!B18, 0),0)</f>
        <v/>
      </c>
      <c r="C30" s="16">
        <f>IF(A30&lt;=$C$3,1/(1+$C$2)^A30,0)</f>
        <v/>
      </c>
      <c r="D30" s="15">
        <f>ROUND(B30*C30,0)</f>
        <v/>
      </c>
    </row>
    <row r="31">
      <c r="A31" s="14" t="n">
        <v>26</v>
      </c>
      <c r="B31" s="15">
        <f>ROUND(IF(A31&lt;=$C$3, 净收益测算!B18, 0),0)</f>
        <v/>
      </c>
      <c r="C31" s="16">
        <f>IF(A31&lt;=$C$3,1/(1+$C$2)^A31,0)</f>
        <v/>
      </c>
      <c r="D31" s="15">
        <f>ROUND(B31*C31,0)</f>
        <v/>
      </c>
    </row>
    <row r="32">
      <c r="A32" s="14" t="n">
        <v>27</v>
      </c>
      <c r="B32" s="15">
        <f>ROUND(IF(A32&lt;=$C$3, 净收益测算!B18, 0),0)</f>
        <v/>
      </c>
      <c r="C32" s="16">
        <f>IF(A32&lt;=$C$3,1/(1+$C$2)^A32,0)</f>
        <v/>
      </c>
      <c r="D32" s="15">
        <f>ROUND(B32*C32,0)</f>
        <v/>
      </c>
    </row>
    <row r="33">
      <c r="A33" s="14" t="n">
        <v>28</v>
      </c>
      <c r="B33" s="15">
        <f>ROUND(IF(A33&lt;=$C$3, 净收益测算!B18, 0),0)</f>
        <v/>
      </c>
      <c r="C33" s="16">
        <f>IF(A33&lt;=$C$3,1/(1+$C$2)^A33,0)</f>
        <v/>
      </c>
      <c r="D33" s="15">
        <f>ROUND(B33*C33,0)</f>
        <v/>
      </c>
    </row>
    <row r="34">
      <c r="A34" s="14" t="n">
        <v>29</v>
      </c>
      <c r="B34" s="15">
        <f>ROUND(IF(A34&lt;=$C$3, 净收益测算!B18, 0),0)</f>
        <v/>
      </c>
      <c r="C34" s="16">
        <f>IF(A34&lt;=$C$3,1/(1+$C$2)^A34,0)</f>
        <v/>
      </c>
      <c r="D34" s="15">
        <f>ROUND(B34*C34,0)</f>
        <v/>
      </c>
    </row>
    <row r="35">
      <c r="A35" s="14" t="n">
        <v>30</v>
      </c>
      <c r="B35" s="15">
        <f>ROUND(IF(A35&lt;=$C$3, 净收益测算!B18, 0),0)</f>
        <v/>
      </c>
      <c r="C35" s="16">
        <f>IF(A35&lt;=$C$3,1/(1+$C$2)^A35,0)</f>
        <v/>
      </c>
      <c r="D35" s="15">
        <f>ROUND(B35*C35,0)</f>
        <v/>
      </c>
    </row>
    <row r="36">
      <c r="A36" s="14" t="n">
        <v>31</v>
      </c>
      <c r="B36" s="15">
        <f>ROUND(IF(A36&lt;=$C$3, 净收益测算!B18, 0),0)</f>
        <v/>
      </c>
      <c r="C36" s="16">
        <f>IF(A36&lt;=$C$3,1/(1+$C$2)^A36,0)</f>
        <v/>
      </c>
      <c r="D36" s="15">
        <f>ROUND(B36*C36,0)</f>
        <v/>
      </c>
    </row>
    <row r="37">
      <c r="A37" s="14" t="n">
        <v>32</v>
      </c>
      <c r="B37" s="15">
        <f>ROUND(IF(A37&lt;=$C$3, 净收益测算!B18, 0),0)</f>
        <v/>
      </c>
      <c r="C37" s="16">
        <f>IF(A37&lt;=$C$3,1/(1+$C$2)^A37,0)</f>
        <v/>
      </c>
      <c r="D37" s="15">
        <f>ROUND(B37*C37,0)</f>
        <v/>
      </c>
    </row>
    <row r="38">
      <c r="A38" s="14" t="n">
        <v>33</v>
      </c>
      <c r="B38" s="15">
        <f>ROUND(IF(A38&lt;=$C$3, 净收益测算!B18, 0),0)</f>
        <v/>
      </c>
      <c r="C38" s="16">
        <f>IF(A38&lt;=$C$3,1/(1+$C$2)^A38,0)</f>
        <v/>
      </c>
      <c r="D38" s="15">
        <f>ROUND(B38*C38,0)</f>
        <v/>
      </c>
    </row>
    <row r="39">
      <c r="A39" s="14" t="n">
        <v>34</v>
      </c>
      <c r="B39" s="15">
        <f>ROUND(IF(A39&lt;=$C$3, 净收益测算!B18, 0),0)</f>
        <v/>
      </c>
      <c r="C39" s="16">
        <f>IF(A39&lt;=$C$3,1/(1+$C$2)^A39,0)</f>
        <v/>
      </c>
      <c r="D39" s="15">
        <f>ROUND(B39*C39,0)</f>
        <v/>
      </c>
    </row>
    <row r="40">
      <c r="A40" s="14" t="n">
        <v>35</v>
      </c>
      <c r="B40" s="15">
        <f>ROUND(IF(A40&lt;=$C$3, 净收益测算!B18, 0),0)</f>
        <v/>
      </c>
      <c r="C40" s="16">
        <f>IF(A40&lt;=$C$3,1/(1+$C$2)^A40,0)</f>
        <v/>
      </c>
      <c r="D40" s="15">
        <f>ROUND(B40*C40,0)</f>
        <v/>
      </c>
    </row>
    <row r="41">
      <c r="A41" s="14" t="n">
        <v>36</v>
      </c>
      <c r="B41" s="15">
        <f>ROUND(IF(A41&lt;=$C$3, 净收益测算!B18, 0),0)</f>
        <v/>
      </c>
      <c r="C41" s="16">
        <f>IF(A41&lt;=$C$3,1/(1+$C$2)^A41,0)</f>
        <v/>
      </c>
      <c r="D41" s="15">
        <f>ROUND(B41*C41,0)</f>
        <v/>
      </c>
    </row>
    <row r="42">
      <c r="A42" s="14" t="n">
        <v>37</v>
      </c>
      <c r="B42" s="15">
        <f>ROUND(IF(A42&lt;=$C$3, 净收益测算!B18, 0),0)</f>
        <v/>
      </c>
      <c r="C42" s="16">
        <f>IF(A42&lt;=$C$3,1/(1+$C$2)^A42,0)</f>
        <v/>
      </c>
      <c r="D42" s="15">
        <f>ROUND(B42*C42,0)</f>
        <v/>
      </c>
    </row>
    <row r="43">
      <c r="A43" s="14" t="n">
        <v>38</v>
      </c>
      <c r="B43" s="15">
        <f>ROUND(IF(A43&lt;=$C$3, 净收益测算!B18, 0),0)</f>
        <v/>
      </c>
      <c r="C43" s="16">
        <f>IF(A43&lt;=$C$3,1/(1+$C$2)^A43,0)</f>
        <v/>
      </c>
      <c r="D43" s="15">
        <f>ROUND(B43*C43,0)</f>
        <v/>
      </c>
    </row>
    <row r="44">
      <c r="A44" s="14" t="n">
        <v>39</v>
      </c>
      <c r="B44" s="15">
        <f>ROUND(IF(A44&lt;=$C$3, 净收益测算!B18, 0),0)</f>
        <v/>
      </c>
      <c r="C44" s="16">
        <f>IF(A44&lt;=$C$3,1/(1+$C$2)^A44,0)</f>
        <v/>
      </c>
      <c r="D44" s="15">
        <f>ROUND(B44*C44,0)</f>
        <v/>
      </c>
    </row>
    <row r="45">
      <c r="A45" s="14" t="n">
        <v>40</v>
      </c>
      <c r="B45" s="15">
        <f>ROUND(IF(A45&lt;=$C$3, 净收益测算!B18, 0),0)</f>
        <v/>
      </c>
      <c r="C45" s="16">
        <f>IF(A45&lt;=$C$3,1/(1+$C$2)^A45,0)</f>
        <v/>
      </c>
      <c r="D45" s="15">
        <f>ROUND(B45*C45,0)</f>
        <v/>
      </c>
    </row>
    <row r="46">
      <c r="A46" s="14" t="n">
        <v>41</v>
      </c>
      <c r="B46" s="15">
        <f>ROUND(IF(A46&lt;=$C$3, 净收益测算!B18, 0),0)</f>
        <v/>
      </c>
      <c r="C46" s="16">
        <f>IF(A46&lt;=$C$3,1/(1+$C$2)^A46,0)</f>
        <v/>
      </c>
      <c r="D46" s="15">
        <f>ROUND(B46*C46,0)</f>
        <v/>
      </c>
    </row>
    <row r="47">
      <c r="A47" s="14" t="n">
        <v>42</v>
      </c>
      <c r="B47" s="15">
        <f>ROUND(IF(A47&lt;=$C$3, 净收益测算!B18, 0),0)</f>
        <v/>
      </c>
      <c r="C47" s="16">
        <f>IF(A47&lt;=$C$3,1/(1+$C$2)^A47,0)</f>
        <v/>
      </c>
      <c r="D47" s="15">
        <f>ROUND(B47*C47,0)</f>
        <v/>
      </c>
    </row>
    <row r="48">
      <c r="A48" s="14" t="n">
        <v>43</v>
      </c>
      <c r="B48" s="15">
        <f>ROUND(IF(A48&lt;=$C$3, 净收益测算!B18, 0),0)</f>
        <v/>
      </c>
      <c r="C48" s="16">
        <f>IF(A48&lt;=$C$3,1/(1+$C$2)^A48,0)</f>
        <v/>
      </c>
      <c r="D48" s="15">
        <f>ROUND(B48*C48,0)</f>
        <v/>
      </c>
    </row>
    <row r="49">
      <c r="A49" s="14" t="n">
        <v>44</v>
      </c>
      <c r="B49" s="15">
        <f>ROUND(IF(A49&lt;=$C$3, 净收益测算!B18, 0),0)</f>
        <v/>
      </c>
      <c r="C49" s="16">
        <f>IF(A49&lt;=$C$3,1/(1+$C$2)^A49,0)</f>
        <v/>
      </c>
      <c r="D49" s="15">
        <f>ROUND(B49*C49,0)</f>
        <v/>
      </c>
    </row>
    <row r="50">
      <c r="A50" s="14" t="n">
        <v>45</v>
      </c>
      <c r="B50" s="15">
        <f>ROUND(IF(A50&lt;=$C$3, 净收益测算!B18, 0),0)</f>
        <v/>
      </c>
      <c r="C50" s="16">
        <f>IF(A50&lt;=$C$3,1/(1+$C$2)^A50,0)</f>
        <v/>
      </c>
      <c r="D50" s="15">
        <f>ROUND(B50*C50,0)</f>
        <v/>
      </c>
    </row>
    <row r="51">
      <c r="A51" s="14" t="n">
        <v>46</v>
      </c>
      <c r="B51" s="15">
        <f>ROUND(IF(A51&lt;=$C$3, 净收益测算!B18, 0),0)</f>
        <v/>
      </c>
      <c r="C51" s="16">
        <f>IF(A51&lt;=$C$3,1/(1+$C$2)^A51,0)</f>
        <v/>
      </c>
      <c r="D51" s="15">
        <f>ROUND(B51*C51,0)</f>
        <v/>
      </c>
    </row>
    <row r="52">
      <c r="A52" s="14" t="n">
        <v>47</v>
      </c>
      <c r="B52" s="15">
        <f>ROUND(IF(A52&lt;=$C$3, 净收益测算!B18, 0),0)</f>
        <v/>
      </c>
      <c r="C52" s="16">
        <f>IF(A52&lt;=$C$3,1/(1+$C$2)^A52,0)</f>
        <v/>
      </c>
      <c r="D52" s="15">
        <f>ROUND(B52*C52,0)</f>
        <v/>
      </c>
    </row>
    <row r="53">
      <c r="A53" s="14" t="n">
        <v>48</v>
      </c>
      <c r="B53" s="15">
        <f>ROUND(IF(A53&lt;=$C$3, 净收益测算!B18, 0),0)</f>
        <v/>
      </c>
      <c r="C53" s="16">
        <f>IF(A53&lt;=$C$3,1/(1+$C$2)^A53,0)</f>
        <v/>
      </c>
      <c r="D53" s="15">
        <f>ROUND(B53*C53,0)</f>
        <v/>
      </c>
    </row>
    <row r="54">
      <c r="A54" s="14" t="n">
        <v>49</v>
      </c>
      <c r="B54" s="15">
        <f>ROUND(IF(A54&lt;=$C$3, 净收益测算!B18, 0),0)</f>
        <v/>
      </c>
      <c r="C54" s="16">
        <f>IF(A54&lt;=$C$3,1/(1+$C$2)^A54,0)</f>
        <v/>
      </c>
      <c r="D54" s="15">
        <f>ROUND(B54*C54,0)</f>
        <v/>
      </c>
    </row>
    <row r="55">
      <c r="A55" s="14" t="n">
        <v>50</v>
      </c>
      <c r="B55" s="15">
        <f>ROUND(IF(A55&lt;=$C$3, 净收益测算!B18, 0),0)</f>
        <v/>
      </c>
      <c r="C55" s="16">
        <f>IF(A55&lt;=$C$3,1/(1+$C$2)^A55,0)</f>
        <v/>
      </c>
      <c r="D55" s="15">
        <f>ROUND(B55*C55,0)</f>
        <v/>
      </c>
    </row>
    <row r="56">
      <c r="A56" s="14" t="n">
        <v>51</v>
      </c>
      <c r="B56" s="15">
        <f>ROUND(IF(A56&lt;=$C$3, 净收益测算!B18, 0),0)</f>
        <v/>
      </c>
      <c r="C56" s="16">
        <f>IF(A56&lt;=$C$3,1/(1+$C$2)^A56,0)</f>
        <v/>
      </c>
      <c r="D56" s="15">
        <f>ROUND(B56*C56,0)</f>
        <v/>
      </c>
    </row>
    <row r="57">
      <c r="A57" s="14" t="n">
        <v>52</v>
      </c>
      <c r="B57" s="15">
        <f>ROUND(IF(A57&lt;=$C$3, 净收益测算!B18, 0),0)</f>
        <v/>
      </c>
      <c r="C57" s="16">
        <f>IF(A57&lt;=$C$3,1/(1+$C$2)^A57,0)</f>
        <v/>
      </c>
      <c r="D57" s="15">
        <f>ROUND(B57*C57,0)</f>
        <v/>
      </c>
    </row>
    <row r="58">
      <c r="A58" s="14" t="n">
        <v>53</v>
      </c>
      <c r="B58" s="15">
        <f>ROUND(IF(A58&lt;=$C$3, 净收益测算!B18, 0),0)</f>
        <v/>
      </c>
      <c r="C58" s="16">
        <f>IF(A58&lt;=$C$3,1/(1+$C$2)^A58,0)</f>
        <v/>
      </c>
      <c r="D58" s="15">
        <f>ROUND(B58*C58,0)</f>
        <v/>
      </c>
    </row>
    <row r="59">
      <c r="A59" s="14" t="n">
        <v>54</v>
      </c>
      <c r="B59" s="15">
        <f>ROUND(IF(A59&lt;=$C$3, 净收益测算!B18, 0),0)</f>
        <v/>
      </c>
      <c r="C59" s="16">
        <f>IF(A59&lt;=$C$3,1/(1+$C$2)^A59,0)</f>
        <v/>
      </c>
      <c r="D59" s="15">
        <f>ROUND(B59*C59,0)</f>
        <v/>
      </c>
    </row>
    <row r="60">
      <c r="A60" s="14" t="n">
        <v>55</v>
      </c>
      <c r="B60" s="15">
        <f>ROUND(IF(A60&lt;=$C$3, 净收益测算!B18, 0),0)</f>
        <v/>
      </c>
      <c r="C60" s="16">
        <f>IF(A60&lt;=$C$3,1/(1+$C$2)^A60,0)</f>
        <v/>
      </c>
      <c r="D60" s="15">
        <f>ROUND(B60*C60,0)</f>
        <v/>
      </c>
    </row>
    <row r="61">
      <c r="A61" s="14" t="n">
        <v>56</v>
      </c>
      <c r="B61" s="15">
        <f>ROUND(IF(A61&lt;=$C$3, 净收益测算!B18, 0),0)</f>
        <v/>
      </c>
      <c r="C61" s="16">
        <f>IF(A61&lt;=$C$3,1/(1+$C$2)^A61,0)</f>
        <v/>
      </c>
      <c r="D61" s="15">
        <f>ROUND(B61*C61,0)</f>
        <v/>
      </c>
    </row>
    <row r="62">
      <c r="A62" s="14" t="n">
        <v>57</v>
      </c>
      <c r="B62" s="15">
        <f>ROUND(IF(A62&lt;=$C$3, 净收益测算!B18, 0),0)</f>
        <v/>
      </c>
      <c r="C62" s="16">
        <f>IF(A62&lt;=$C$3,1/(1+$C$2)^A62,0)</f>
        <v/>
      </c>
      <c r="D62" s="15">
        <f>ROUND(B62*C62,0)</f>
        <v/>
      </c>
    </row>
    <row r="63">
      <c r="A63" s="14" t="n">
        <v>58</v>
      </c>
      <c r="B63" s="15">
        <f>ROUND(IF(A63&lt;=$C$3, 净收益测算!B18, 0),0)</f>
        <v/>
      </c>
      <c r="C63" s="16">
        <f>IF(A63&lt;=$C$3,1/(1+$C$2)^A63,0)</f>
        <v/>
      </c>
      <c r="D63" s="15">
        <f>ROUND(B63*C63,0)</f>
        <v/>
      </c>
    </row>
    <row r="64">
      <c r="A64" s="14" t="n">
        <v>59</v>
      </c>
      <c r="B64" s="15">
        <f>ROUND(IF(A64&lt;=$C$3, 净收益测算!B18, 0),0)</f>
        <v/>
      </c>
      <c r="C64" s="16">
        <f>IF(A64&lt;=$C$3,1/(1+$C$2)^A64,0)</f>
        <v/>
      </c>
      <c r="D64" s="15">
        <f>ROUND(B64*C64,0)</f>
        <v/>
      </c>
    </row>
    <row r="65">
      <c r="A65" s="14" t="n">
        <v>60</v>
      </c>
      <c r="B65" s="15">
        <f>ROUND(IF(A65&lt;=$C$3, 净收益测算!B18, 0),0)</f>
        <v/>
      </c>
      <c r="C65" s="16">
        <f>IF(A65&lt;=$C$3,1/(1+$C$2)^A65,0)</f>
        <v/>
      </c>
      <c r="D65" s="15">
        <f>ROUND(B65*C65,0)</f>
        <v/>
      </c>
    </row>
    <row r="66">
      <c r="A66" s="17" t="inlineStr">
        <is>
          <t>收益价值 (全剩余寿命模式, 元/m²)</t>
        </is>
      </c>
      <c r="D66" s="18">
        <f>ROUND(SUM(D6:D65),0)</f>
        <v/>
      </c>
    </row>
    <row r="68">
      <c r="A68" s="19" t="inlineStr">
        <is>
          <t>期末转售收益 (元/m²)</t>
        </is>
      </c>
      <c r="C68" s="20" t="n"/>
    </row>
    <row r="69">
      <c r="A69" s="19" t="inlineStr">
        <is>
          <t>期末报酬率</t>
        </is>
      </c>
      <c r="C69" s="21" t="n"/>
    </row>
    <row r="70">
      <c r="A70" s="19" t="inlineStr">
        <is>
          <t>期末转售收益折现</t>
        </is>
      </c>
      <c r="D70" s="22">
        <f>ROUND(IF(C68*C69=0,0,C68/(1+C69)^C3),0)</f>
        <v/>
      </c>
    </row>
    <row r="72">
      <c r="A72" s="23" t="inlineStr">
        <is>
          <t>收益总价值 (元/m²)</t>
        </is>
      </c>
      <c r="D72" s="18">
        <f>ROUND(D66+D70,0)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0">
    <mergeCell ref="A72:C72"/>
    <mergeCell ref="A2:B2"/>
    <mergeCell ref="A66:C66"/>
    <mergeCell ref="D2:E2"/>
    <mergeCell ref="A68:B68"/>
    <mergeCell ref="A70:C70"/>
    <mergeCell ref="A1:E1"/>
    <mergeCell ref="D3:E3"/>
    <mergeCell ref="A3:B3"/>
    <mergeCell ref="A69:B69"/>
  </mergeCells>
  <dataValidations count="2">
    <dataValidation sqref="C2" showDropDown="0" showInputMessage="0" showErrorMessage="0" allowBlank="0" error="报酬率应在0~30%之间" type="decimal" operator="between">
      <formula1>0</formula1>
      <formula2>0.30</formula2>
    </dataValidation>
    <dataValidation sqref="C3" showDropDown="0" showInputMessage="0" showErrorMessage="0" allowBlank="0" error="收益期必须≥1年" type="whole" operator="greaterThanOrEqual">
      <formula1>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2026-08-14T09:21:45Z</dcterms:created>
  <dcterms:modified xsi:type="dcterms:W3CDTF">2026-08-14T09:21:45Z</dcterms:modified>
</cp:coreProperties>
</file>