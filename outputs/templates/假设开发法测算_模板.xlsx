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假设开发法" sheetId="1" state="visible" r:id="rId1"/>
    <sheet xmlns:r="http://schemas.openxmlformats.org/officeDocument/2006/relationships" name="现金流时间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000FF"/>
      <sz val="11"/>
    </font>
    <font>
      <name val="Arial"/>
      <b val="1"/>
      <color rgb="00000000"/>
      <sz val="11"/>
    </font>
    <font>
      <name val="Arial"/>
      <i val="1"/>
      <color rgb="00333333"/>
      <sz val="9"/>
    </font>
    <font>
      <name val="Arial"/>
      <b val="1"/>
      <color rgb="001F4E79"/>
      <sz val="12"/>
      <u val="single"/>
    </font>
    <font>
      <name val="Arial"/>
      <color rgb="00000000"/>
      <sz val="11"/>
    </font>
    <font>
      <name val="Arial"/>
      <color rgb="00FF0000"/>
      <sz val="9"/>
    </font>
    <font>
      <name val="Arial"/>
      <color rgb="00666666"/>
      <sz val="9"/>
    </font>
    <font>
      <name val="Arial"/>
      <b val="1"/>
      <color rgb="00000000"/>
      <sz val="12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E6EEF5"/>
        <bgColor rgb="00E6EEF5"/>
      </patternFill>
    </fill>
    <fill>
      <patternFill patternType="solid">
        <fgColor rgb="00FFFF00"/>
        <bgColor rgb="00FFFF00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3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1" fontId="2" fillId="0" borderId="1" pivotButton="0" quotePrefix="0" xfId="0"/>
    <xf numFmtId="1" fontId="6" fillId="0" borderId="1" pivotButton="0" quotePrefix="0" xfId="0"/>
    <xf numFmtId="3" fontId="2" fillId="5" borderId="1" pivotButton="0" quotePrefix="0" xfId="0"/>
    <xf numFmtId="3" fontId="6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10" fontId="2" fillId="5" borderId="1" pivotButton="0" quotePrefix="0" xfId="0"/>
    <xf numFmtId="10" fontId="2" fillId="0" borderId="1" pivotButton="0" quotePrefix="0" xfId="0"/>
    <xf numFmtId="164" fontId="2" fillId="5" borderId="1" pivotButton="0" quotePrefix="0" xfId="0"/>
    <xf numFmtId="0" fontId="8" fillId="0" borderId="0" applyAlignment="1" pivotButton="0" quotePrefix="0" xfId="0">
      <alignment horizontal="left" vertical="center" wrapText="1"/>
    </xf>
    <xf numFmtId="0" fontId="9" fillId="0" borderId="1" pivotButton="0" quotePrefix="0" xfId="0"/>
    <xf numFmtId="3" fontId="9" fillId="5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5" fontId="6" fillId="0" borderId="1" pivotButton="0" quotePrefix="0" xfId="0"/>
    <xf numFmtId="0" fontId="9" fillId="0" borderId="0" pivotButton="0" quotePrefix="0" xfId="0"/>
  </cellXfs>
  <cellStyles count="1">
    <cellStyle name="Normal" xfId="0" builtinId="0" hidden="0"/>
  </cellStyles>
  <dxfs count="1">
    <dxf>
      <font>
        <b val="1"/>
        <color rgb="00FF0000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GB/T 50291-2015</author>
  </authors>
  <commentList>
    <comment ref="B15" authorId="0" shapeId="0">
      <text>
        <t>4.5.7条第1款: 开发完成后价值不得用成本法。必须用比较法或收益法测算。</t>
      </text>
    </comment>
    <comment ref="B28" authorId="0" shapeId="0">
      <text>
        <t>折现率应体现资金时间价值和项目风险。通过市场提取或累加法确定。</t>
      </text>
    </comment>
  </commentList>
</comments>
</file>

<file path=xl/comments/comment2.xml><?xml version="1.0" encoding="utf-8"?>
<comments xmlns="http://schemas.openxmlformats.org/spreadsheetml/2006/main">
  <authors>
    <author>校验</author>
  </authors>
  <commentList>
    <comment ref="D28" authorId="0" shapeId="0">
      <text>
        <t>净现值 = 各期净现金流 × 折现因子之和。应与Sheet1动态法开发价值一致。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22" customWidth="1" min="4" max="4"/>
  </cols>
  <sheetData>
    <row r="1" ht="30" customHeight="1">
      <c r="A1" s="1" t="inlineStr">
        <is>
          <t>假设开发法测算</t>
        </is>
      </c>
    </row>
    <row r="2">
      <c r="A2" s="2" t="inlineStr">
        <is>
          <t>估价对象: [请输入地址]</t>
        </is>
      </c>
      <c r="C2" s="2" t="inlineStr">
        <is>
          <t>价值时点: [日期]</t>
        </is>
      </c>
      <c r="D2" s="3" t="inlineStr">
        <is>
          <t>方法: 动态分析法</t>
        </is>
      </c>
    </row>
    <row r="3">
      <c r="A3" s="4" t="inlineStr">
        <is>
          <t>图例: 蓝字=可修改输入 | 黑字=公式 | 黄底=关键参数 | 红字=红线检查</t>
        </is>
      </c>
    </row>
    <row r="5">
      <c r="A5" s="5" t="inlineStr">
        <is>
          <t>一、最佳开发经营方式</t>
        </is>
      </c>
    </row>
    <row r="6">
      <c r="A6" s="6" t="inlineStr">
        <is>
          <t>开发完成后用途</t>
        </is>
      </c>
      <c r="B6" s="7" t="n"/>
      <c r="C6" s="6" t="inlineStr">
        <is>
          <t>规模 (m²)</t>
        </is>
      </c>
      <c r="D6" s="8" t="n"/>
    </row>
    <row r="7">
      <c r="A7" s="6" t="inlineStr">
        <is>
          <t>经营方式</t>
        </is>
      </c>
      <c r="B7" s="7" t="n"/>
      <c r="C7" s="6" t="inlineStr"/>
    </row>
    <row r="9">
      <c r="A9" s="5" t="inlineStr">
        <is>
          <t>二、开发经营期 (月)</t>
        </is>
      </c>
    </row>
    <row r="10">
      <c r="A10" s="6" t="inlineStr">
        <is>
          <t>前期</t>
        </is>
      </c>
      <c r="B10" s="9" t="n"/>
      <c r="C10" s="6" t="inlineStr">
        <is>
          <t>建造期</t>
        </is>
      </c>
      <c r="D10" s="9" t="n"/>
    </row>
    <row r="11">
      <c r="A11" s="6" t="inlineStr">
        <is>
          <t>销售期</t>
        </is>
      </c>
      <c r="B11" s="9" t="n"/>
      <c r="C11" s="6" t="inlineStr">
        <is>
          <t>开发经营期总计</t>
        </is>
      </c>
      <c r="D11" s="10">
        <f>ROUND(B10+C10,0)</f>
        <v/>
      </c>
    </row>
    <row r="13">
      <c r="A13" s="5" t="inlineStr">
        <is>
          <t>三、开发完成后价值  (⚠️ 4.5.7条第1款: 不得用成本法)</t>
        </is>
      </c>
    </row>
    <row r="14">
      <c r="A14" s="6" t="inlineStr">
        <is>
          <t>测算方法</t>
        </is>
      </c>
      <c r="B14" s="7" t="n"/>
      <c r="C14" s="6" t="inlineStr">
        <is>
          <t>数据来源</t>
        </is>
      </c>
      <c r="D14" s="7" t="n"/>
    </row>
    <row r="15">
      <c r="A15" s="6" t="inlineStr">
        <is>
          <t>单价 (元/m²)</t>
        </is>
      </c>
      <c r="B15" s="11" t="n">
        <v>25000</v>
      </c>
      <c r="C15" s="6" t="inlineStr">
        <is>
          <t>总价 (元)</t>
        </is>
      </c>
      <c r="D15" s="12">
        <f>ROUND(B15*B7,0)</f>
        <v/>
      </c>
    </row>
    <row r="16">
      <c r="A16" s="6" t="inlineStr">
        <is>
          <t>信源等级</t>
        </is>
      </c>
      <c r="B16" s="7" t="n"/>
      <c r="C16" s="6" t="inlineStr">
        <is>
          <t>建筑面积 (m²)</t>
        </is>
      </c>
      <c r="D16" s="12">
        <f>B7</f>
        <v/>
      </c>
    </row>
    <row r="18">
      <c r="A18" s="5" t="inlineStr">
        <is>
          <t>四、后续开发必要支出</t>
        </is>
      </c>
    </row>
    <row r="19">
      <c r="A19" s="13" t="inlineStr">
        <is>
          <t>项目</t>
        </is>
      </c>
      <c r="B19" s="13" t="inlineStr">
        <is>
          <t>金额 (元)</t>
        </is>
      </c>
      <c r="C19" s="13" t="inlineStr">
        <is>
          <t>参数</t>
        </is>
      </c>
      <c r="D19" s="13" t="inlineStr">
        <is>
          <t>发生期 (月)</t>
        </is>
      </c>
    </row>
    <row r="20">
      <c r="A20" s="6" t="inlineStr">
        <is>
          <t>建设成本</t>
        </is>
      </c>
      <c r="B20" s="8" t="n"/>
      <c r="C20" s="14" t="n"/>
      <c r="D20" s="9" t="n"/>
    </row>
    <row r="21">
      <c r="A21" s="6" t="inlineStr">
        <is>
          <t>管理费用</t>
        </is>
      </c>
      <c r="B21" s="12">
        <f>ROUND(B17*管理费率,0)</f>
        <v/>
      </c>
      <c r="C21" s="15" t="inlineStr">
        <is>
          <t>见参数表</t>
        </is>
      </c>
      <c r="D21" s="9" t="n"/>
    </row>
    <row r="22">
      <c r="A22" s="6" t="inlineStr">
        <is>
          <t>销售费用</t>
        </is>
      </c>
      <c r="B22" s="12">
        <f>ROUND(D14*销售费率,0)</f>
        <v/>
      </c>
      <c r="C22" s="15" t="inlineStr">
        <is>
          <t>见参数表</t>
        </is>
      </c>
      <c r="D22" s="9" t="n"/>
    </row>
    <row r="23">
      <c r="A23" s="6" t="inlineStr">
        <is>
          <t>销售税费</t>
        </is>
      </c>
      <c r="B23" s="12">
        <f>ROUND(D15*税率,0)</f>
        <v/>
      </c>
      <c r="C23" s="15" t="inlineStr">
        <is>
          <t>见参数表</t>
        </is>
      </c>
      <c r="D23" s="9" t="n"/>
    </row>
    <row r="24">
      <c r="A24" s="6" t="inlineStr">
        <is>
          <t>取得税费 (仅转让前提)</t>
        </is>
      </c>
      <c r="B24" s="8" t="n"/>
      <c r="C24" s="14" t="n"/>
      <c r="D24" s="9" t="n"/>
    </row>
    <row r="25">
      <c r="A25" s="6" t="inlineStr">
        <is>
          <t>支出合计</t>
        </is>
      </c>
      <c r="B25" s="12">
        <f>ROUND(SUM(B20:B24),0)</f>
        <v/>
      </c>
    </row>
    <row r="27">
      <c r="A27" s="5" t="inlineStr">
        <is>
          <t>五、折现率/利息/利润</t>
        </is>
      </c>
    </row>
    <row r="28">
      <c r="A28" s="6" t="inlineStr">
        <is>
          <t>折现率 r (动态法)</t>
        </is>
      </c>
      <c r="B28" s="16" t="n"/>
      <c r="C28" s="6" t="inlineStr">
        <is>
          <t>利率 (静态法)</t>
        </is>
      </c>
      <c r="D28" s="17" t="n"/>
    </row>
    <row r="29">
      <c r="A29" s="6" t="inlineStr">
        <is>
          <t>利润率 (静态法)</t>
        </is>
      </c>
      <c r="B29" s="18" t="n"/>
    </row>
    <row r="31">
      <c r="A31" s="5" t="inlineStr">
        <is>
          <t>六、开发价值 (动态法)</t>
        </is>
      </c>
    </row>
    <row r="32">
      <c r="A32" s="6" t="inlineStr">
        <is>
          <t>开发完成后价值折现 (元)</t>
        </is>
      </c>
      <c r="B32" s="12">
        <f>ROUND(D16/(1+B28)^((C11+C10)/12),0)</f>
        <v/>
      </c>
      <c r="C32" s="19" t="inlineStr">
        <is>
          <t>折现期=建造期+销售期, 转年</t>
        </is>
      </c>
    </row>
    <row r="33">
      <c r="A33" s="6" t="inlineStr">
        <is>
          <t>建设成本折现 (元)</t>
        </is>
      </c>
      <c r="B33" s="12">
        <f>ROUND(B20/(1+B28)^(D20/12),0)</f>
        <v/>
      </c>
      <c r="C33" s="19" t="inlineStr">
        <is>
          <t>按发生期分别折现</t>
        </is>
      </c>
    </row>
    <row r="34">
      <c r="A34" s="6" t="inlineStr">
        <is>
          <t>管理费用折现 (元)</t>
        </is>
      </c>
      <c r="B34" s="12">
        <f>ROUND(B21/(1+B28)^(D21/12),0)</f>
        <v/>
      </c>
      <c r="C34" s="19" t="inlineStr"/>
    </row>
    <row r="35">
      <c r="A35" s="6" t="inlineStr">
        <is>
          <t>销售费用折现 (元)</t>
        </is>
      </c>
      <c r="B35" s="12">
        <f>ROUND(B22/(1+B28)^(D22/12),0)</f>
        <v/>
      </c>
      <c r="C35" s="19" t="inlineStr"/>
    </row>
    <row r="36">
      <c r="A36" s="6" t="inlineStr">
        <is>
          <t>销售税费折现 (元)</t>
        </is>
      </c>
      <c r="B36" s="12">
        <f>ROUND(B23/(1+B28)^(D23/12),0)</f>
        <v/>
      </c>
      <c r="C36" s="19" t="inlineStr"/>
    </row>
    <row r="37">
      <c r="A37" s="6" t="inlineStr">
        <is>
          <t>取得税费折现 (元)(如有)</t>
        </is>
      </c>
      <c r="B37" s="12">
        <f>ROUND(B24/(1+B28)^(D24/12),0)</f>
        <v/>
      </c>
      <c r="C37" s="19" t="inlineStr">
        <is>
          <t>仅转让开发前提</t>
        </is>
      </c>
    </row>
    <row r="38">
      <c r="A38" s="6" t="inlineStr">
        <is>
          <t>支出折现合计 (元)</t>
        </is>
      </c>
      <c r="B38" s="12">
        <f>ROUND(SUM(B33:B37),0)</f>
        <v/>
      </c>
    </row>
    <row r="39">
      <c r="A39" s="20" t="inlineStr">
        <is>
          <t>开发价值 总价 (元)</t>
        </is>
      </c>
      <c r="B39" s="21">
        <f>ROUND(B32-B38,0)</f>
        <v/>
      </c>
    </row>
    <row r="40">
      <c r="A40" s="6" t="inlineStr">
        <is>
          <t>建筑面积 (m²)</t>
        </is>
      </c>
      <c r="B40" s="22">
        <f>B7</f>
        <v/>
      </c>
    </row>
    <row r="41">
      <c r="A41" s="20" t="inlineStr">
        <is>
          <t>开发价值 单价 (元/m²)</t>
        </is>
      </c>
      <c r="B41" s="21">
        <f>ROUND(B39/B40,0)</f>
        <v/>
      </c>
    </row>
    <row r="43">
      <c r="A43" s="5" t="inlineStr">
        <is>
          <t>七、红线检查</t>
        </is>
      </c>
    </row>
    <row r="44">
      <c r="A44" s="6" t="inlineStr">
        <is>
          <t>开发完成后价值方法</t>
        </is>
      </c>
      <c r="B44" s="23">
        <f>IF(B15="成本法","✗ 违规: 4.5.7条禁止用成本法","✓ 合规: 比较法/收益法")</f>
        <v/>
      </c>
    </row>
    <row r="45">
      <c r="A45" s="6" t="inlineStr">
        <is>
          <t>利息/利润重复检查</t>
        </is>
      </c>
      <c r="B45" s="23">
        <f>IF(D2&lt;&gt;"静态","✓ 动态法无需另算利息利润","⚠ 静态法: 确认未重复计算")</f>
        <v/>
      </c>
    </row>
    <row r="46">
      <c r="A46" s="6" t="inlineStr">
        <is>
          <t>估价前提匹配检查</t>
        </is>
      </c>
      <c r="B46" s="23">
        <f>IF(AND(D2="被迫转让开发", B28&lt;0.08),"⚠ 抵押估价折现率宜≥8%","✓")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19">
    <mergeCell ref="A5:D5"/>
    <mergeCell ref="C34:D34"/>
    <mergeCell ref="C33:D33"/>
    <mergeCell ref="A43:D43"/>
    <mergeCell ref="B44:D44"/>
    <mergeCell ref="A13:D13"/>
    <mergeCell ref="C35:D35"/>
    <mergeCell ref="A9:D9"/>
    <mergeCell ref="A31:D31"/>
    <mergeCell ref="A1:D1"/>
    <mergeCell ref="A2:B2"/>
    <mergeCell ref="B45:D45"/>
    <mergeCell ref="C36:D36"/>
    <mergeCell ref="A18:D18"/>
    <mergeCell ref="A27:D27"/>
    <mergeCell ref="C32:D32"/>
    <mergeCell ref="B46:D46"/>
    <mergeCell ref="A3:D3"/>
    <mergeCell ref="C37:D37"/>
  </mergeCells>
  <conditionalFormatting sqref="B44">
    <cfRule type="cellIs" priority="1" operator="beginsWith" dxfId="0">
      <formula>"✗"</formula>
    </cfRule>
  </conditionalFormatting>
  <conditionalFormatting sqref="B45">
    <cfRule type="cellIs" priority="2" operator="beginsWith" dxfId="0">
      <formula>"✗"</formula>
    </cfRule>
  </conditionalFormatting>
  <conditionalFormatting sqref="B46">
    <cfRule type="cellIs" priority="3" operator="beginsWith" dxfId="0">
      <formula>"✗"</formula>
    </cfRule>
  </conditionalFormatting>
  <dataValidations count="4">
    <dataValidation sqref="B7" showDropDown="0" showInputMessage="0" showErrorMessage="0" allowBlank="0" type="list">
      <formula1>"全部出售,部分出租,自持"</formula1>
    </dataValidation>
    <dataValidation sqref="B14" showDropDown="0" showInputMessage="0" showErrorMessage="0" allowBlank="0" errorTitle="红线警告" error="开发完成后价值必须用比较法或收益法(4.5.7条)" type="list">
      <formula1>"比较法,收益法"</formula1>
    </dataValidation>
    <dataValidation sqref="B16" showDropDown="0" showInputMessage="0" showErrorMessage="0" allowBlank="0" type="list">
      <formula1>"T0-官方,T1-头部机构,T2-自媒体"</formula1>
    </dataValidation>
    <dataValidation sqref="B28" showDropDown="0" showInputMessage="0" showErrorMessage="0" allowBlank="0" error="折现率应在5%~30%之间" type="decimal" operator="between">
      <formula1>0.05</formula1>
      <formula2>0.30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现金流时间线 (动态分析法)</t>
        </is>
      </c>
    </row>
    <row r="3">
      <c r="A3" s="13" t="inlineStr">
        <is>
          <t>期数(月)</t>
        </is>
      </c>
      <c r="B3" s="13" t="inlineStr">
        <is>
          <t>现金流入 (元)</t>
        </is>
      </c>
      <c r="C3" s="13" t="inlineStr">
        <is>
          <t>现金流出 (元)</t>
        </is>
      </c>
      <c r="D3" s="13" t="inlineStr">
        <is>
          <t>净现金流 (元)</t>
        </is>
      </c>
      <c r="E3" s="13" t="inlineStr">
        <is>
          <t>折现因子</t>
        </is>
      </c>
    </row>
    <row r="4">
      <c r="A4" s="24" t="n">
        <v>0</v>
      </c>
      <c r="B4" s="12" t="n">
        <v>0</v>
      </c>
      <c r="C4" s="8" t="n"/>
      <c r="D4" s="12">
        <f>ROUND(B4-C4,0)</f>
        <v/>
      </c>
      <c r="E4" s="25">
        <f>1/(1+假设开发法!B27)^(A4/12)</f>
        <v/>
      </c>
    </row>
    <row r="5">
      <c r="A5" s="24" t="n">
        <v>1</v>
      </c>
      <c r="B5" s="8" t="n"/>
      <c r="C5" s="8" t="n"/>
      <c r="D5" s="12">
        <f>ROUND(B5-C5,0)</f>
        <v/>
      </c>
      <c r="E5" s="25">
        <f>1/(1+假设开发法!B27)^(A5/12)</f>
        <v/>
      </c>
    </row>
    <row r="6">
      <c r="A6" s="24" t="n">
        <v>2</v>
      </c>
      <c r="B6" s="8" t="n"/>
      <c r="C6" s="8" t="n"/>
      <c r="D6" s="12">
        <f>ROUND(B6-C6,0)</f>
        <v/>
      </c>
      <c r="E6" s="25">
        <f>1/(1+假设开发法!B27)^(A6/12)</f>
        <v/>
      </c>
    </row>
    <row r="7">
      <c r="A7" s="24" t="n">
        <v>3</v>
      </c>
      <c r="B7" s="8" t="n"/>
      <c r="C7" s="8" t="n"/>
      <c r="D7" s="12">
        <f>ROUND(B7-C7,0)</f>
        <v/>
      </c>
      <c r="E7" s="25">
        <f>1/(1+假设开发法!B27)^(A7/12)</f>
        <v/>
      </c>
    </row>
    <row r="8">
      <c r="A8" s="24" t="n">
        <v>4</v>
      </c>
      <c r="B8" s="8" t="n"/>
      <c r="C8" s="8" t="n"/>
      <c r="D8" s="12">
        <f>ROUND(B8-C8,0)</f>
        <v/>
      </c>
      <c r="E8" s="25">
        <f>1/(1+假设开发法!B27)^(A8/12)</f>
        <v/>
      </c>
    </row>
    <row r="9">
      <c r="A9" s="24" t="n">
        <v>5</v>
      </c>
      <c r="B9" s="8" t="n"/>
      <c r="C9" s="8" t="n"/>
      <c r="D9" s="12">
        <f>ROUND(B9-C9,0)</f>
        <v/>
      </c>
      <c r="E9" s="25">
        <f>1/(1+假设开发法!B27)^(A9/12)</f>
        <v/>
      </c>
    </row>
    <row r="10">
      <c r="A10" s="24" t="n">
        <v>6</v>
      </c>
      <c r="B10" s="8" t="n"/>
      <c r="C10" s="8" t="n"/>
      <c r="D10" s="12">
        <f>ROUND(B10-C10,0)</f>
        <v/>
      </c>
      <c r="E10" s="25">
        <f>1/(1+假设开发法!B27)^(A10/12)</f>
        <v/>
      </c>
    </row>
    <row r="11">
      <c r="A11" s="24" t="n">
        <v>7</v>
      </c>
      <c r="B11" s="8" t="n"/>
      <c r="C11" s="8" t="n"/>
      <c r="D11" s="12">
        <f>ROUND(B11-C11,0)</f>
        <v/>
      </c>
      <c r="E11" s="25">
        <f>1/(1+假设开发法!B27)^(A11/12)</f>
        <v/>
      </c>
    </row>
    <row r="12">
      <c r="A12" s="24" t="n">
        <v>8</v>
      </c>
      <c r="B12" s="8" t="n"/>
      <c r="C12" s="8" t="n"/>
      <c r="D12" s="12">
        <f>ROUND(B12-C12,0)</f>
        <v/>
      </c>
      <c r="E12" s="25">
        <f>1/(1+假设开发法!B27)^(A12/12)</f>
        <v/>
      </c>
    </row>
    <row r="13">
      <c r="A13" s="24" t="n">
        <v>9</v>
      </c>
      <c r="B13" s="8" t="n"/>
      <c r="C13" s="8" t="n"/>
      <c r="D13" s="12">
        <f>ROUND(B13-C13,0)</f>
        <v/>
      </c>
      <c r="E13" s="25">
        <f>1/(1+假设开发法!B27)^(A13/12)</f>
        <v/>
      </c>
    </row>
    <row r="14">
      <c r="A14" s="24" t="n">
        <v>10</v>
      </c>
      <c r="B14" s="8" t="n"/>
      <c r="C14" s="8" t="n"/>
      <c r="D14" s="12">
        <f>ROUND(B14-C14,0)</f>
        <v/>
      </c>
      <c r="E14" s="25">
        <f>1/(1+假设开发法!B27)^(A14/12)</f>
        <v/>
      </c>
    </row>
    <row r="15">
      <c r="A15" s="24" t="n">
        <v>11</v>
      </c>
      <c r="B15" s="8" t="n"/>
      <c r="C15" s="8" t="n"/>
      <c r="D15" s="12">
        <f>ROUND(B15-C15,0)</f>
        <v/>
      </c>
      <c r="E15" s="25">
        <f>1/(1+假设开发法!B27)^(A15/12)</f>
        <v/>
      </c>
    </row>
    <row r="16">
      <c r="A16" s="24" t="n">
        <v>12</v>
      </c>
      <c r="B16" s="8" t="n"/>
      <c r="C16" s="8" t="n"/>
      <c r="D16" s="12">
        <f>ROUND(B16-C16,0)</f>
        <v/>
      </c>
      <c r="E16" s="25">
        <f>1/(1+假设开发法!B27)^(A16/12)</f>
        <v/>
      </c>
    </row>
    <row r="17">
      <c r="A17" s="24" t="n">
        <v>13</v>
      </c>
      <c r="B17" s="8" t="n"/>
      <c r="C17" s="8" t="n"/>
      <c r="D17" s="12">
        <f>ROUND(B17-C17,0)</f>
        <v/>
      </c>
      <c r="E17" s="25">
        <f>1/(1+假设开发法!B27)^(A17/12)</f>
        <v/>
      </c>
    </row>
    <row r="18">
      <c r="A18" s="24" t="n">
        <v>14</v>
      </c>
      <c r="B18" s="8" t="n"/>
      <c r="C18" s="8" t="n"/>
      <c r="D18" s="12">
        <f>ROUND(B18-C18,0)</f>
        <v/>
      </c>
      <c r="E18" s="25">
        <f>1/(1+假设开发法!B27)^(A18/12)</f>
        <v/>
      </c>
    </row>
    <row r="19">
      <c r="A19" s="24" t="n">
        <v>15</v>
      </c>
      <c r="B19" s="8" t="n"/>
      <c r="C19" s="8" t="n"/>
      <c r="D19" s="12">
        <f>ROUND(B19-C19,0)</f>
        <v/>
      </c>
      <c r="E19" s="25">
        <f>1/(1+假设开发法!B27)^(A19/12)</f>
        <v/>
      </c>
    </row>
    <row r="20">
      <c r="A20" s="24" t="n">
        <v>16</v>
      </c>
      <c r="B20" s="8" t="n"/>
      <c r="C20" s="8" t="n"/>
      <c r="D20" s="12">
        <f>ROUND(B20-C20,0)</f>
        <v/>
      </c>
      <c r="E20" s="25">
        <f>1/(1+假设开发法!B27)^(A20/12)</f>
        <v/>
      </c>
    </row>
    <row r="21">
      <c r="A21" s="24" t="n">
        <v>17</v>
      </c>
      <c r="B21" s="8" t="n"/>
      <c r="C21" s="8" t="n"/>
      <c r="D21" s="12">
        <f>ROUND(B21-C21,0)</f>
        <v/>
      </c>
      <c r="E21" s="25">
        <f>1/(1+假设开发法!B27)^(A21/12)</f>
        <v/>
      </c>
    </row>
    <row r="22">
      <c r="A22" s="24" t="n">
        <v>18</v>
      </c>
      <c r="B22" s="8" t="n"/>
      <c r="C22" s="8" t="n"/>
      <c r="D22" s="12">
        <f>ROUND(B22-C22,0)</f>
        <v/>
      </c>
      <c r="E22" s="25">
        <f>1/(1+假设开发法!B27)^(A22/12)</f>
        <v/>
      </c>
    </row>
    <row r="23">
      <c r="A23" s="24" t="n">
        <v>19</v>
      </c>
      <c r="B23" s="8" t="n"/>
      <c r="C23" s="8" t="n"/>
      <c r="D23" s="12">
        <f>ROUND(B23-C23,0)</f>
        <v/>
      </c>
      <c r="E23" s="25">
        <f>1/(1+假设开发法!B27)^(A23/12)</f>
        <v/>
      </c>
    </row>
    <row r="24">
      <c r="A24" s="24" t="n">
        <v>20</v>
      </c>
      <c r="B24" s="8" t="n"/>
      <c r="C24" s="8" t="n"/>
      <c r="D24" s="12">
        <f>ROUND(B24-C24,0)</f>
        <v/>
      </c>
      <c r="E24" s="25">
        <f>1/(1+假设开发法!B27)^(A24/12)</f>
        <v/>
      </c>
    </row>
    <row r="25">
      <c r="A25" s="24" t="n">
        <v>21</v>
      </c>
      <c r="B25" s="8" t="n"/>
      <c r="C25" s="8" t="n"/>
      <c r="D25" s="12">
        <f>ROUND(B25-C25,0)</f>
        <v/>
      </c>
      <c r="E25" s="25">
        <f>1/(1+假设开发法!B27)^(A25/12)</f>
        <v/>
      </c>
    </row>
    <row r="26">
      <c r="A26" s="24" t="n">
        <v>22</v>
      </c>
      <c r="B26" s="8" t="n"/>
      <c r="C26" s="8" t="n"/>
      <c r="D26" s="12">
        <f>ROUND(B26-C26,0)</f>
        <v/>
      </c>
      <c r="E26" s="25">
        <f>1/(1+假设开发法!B27)^(A26/12)</f>
        <v/>
      </c>
    </row>
    <row r="27">
      <c r="A27" s="24" t="n">
        <v>23</v>
      </c>
      <c r="B27" s="8" t="n"/>
      <c r="C27" s="8" t="n"/>
      <c r="D27" s="12">
        <f>ROUND(B27-C27,0)</f>
        <v/>
      </c>
      <c r="E27" s="25">
        <f>1/(1+假设开发法!B27)^(A27/12)</f>
        <v/>
      </c>
    </row>
    <row r="28">
      <c r="A28" s="26" t="inlineStr">
        <is>
          <t>NPV (元)</t>
        </is>
      </c>
      <c r="D28" s="21">
        <f>ROUND(SUMPRODUCT(D4:D27,E4:E27),0)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2">
    <mergeCell ref="A28:C28"/>
    <mergeCell ref="A1:E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