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假设开发法" sheetId="1" state="visible" r:id="rId1"/>
    <sheet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ROUND(B10+C10,0)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>
        <v>25000</v>
      </c>
      <c r="C15" s="6" t="inlineStr">
        <is>
          <t>总价 (元)</t>
        </is>
      </c>
      <c r="D15" s="12">
        <f>ROUND(B15*B7,0)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ROUND(B17*管理费率,0)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ROUND(D14*销售费率,0)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ROUND(D15*税率,0)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ROUND(SUM(B20:B24),0)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ROUND(D16/(1+B28)^((C11+C10)/12),0)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ROUND(B20/(1+B28)^(D20/12),0)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ROUND(B21/(1+B28)^(D21/12),0)</f>
        <v/>
      </c>
      <c r="C34" s="19" t="inlineStr"/>
    </row>
    <row r="35">
      <c r="A35" s="6" t="inlineStr">
        <is>
          <t>销售费用折现 (元)</t>
        </is>
      </c>
      <c r="B35" s="12">
        <f>ROUND(B22/(1+B28)^(D22/12),0)</f>
        <v/>
      </c>
      <c r="C35" s="19" t="inlineStr"/>
    </row>
    <row r="36">
      <c r="A36" s="6" t="inlineStr">
        <is>
          <t>销售税费折现 (元)</t>
        </is>
      </c>
      <c r="B36" s="12">
        <f>ROUND(B23/(1+B28)^(D23/12),0)</f>
        <v/>
      </c>
      <c r="C36" s="19" t="inlineStr"/>
    </row>
    <row r="37">
      <c r="A37" s="6" t="inlineStr">
        <is>
          <t>取得税费折现 (元)(如有)</t>
        </is>
      </c>
      <c r="B37" s="12">
        <f>ROUND(B24/(1+B28)^(D24/12),0)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ROUND(SUM(B33:B37),0)</f>
        <v/>
      </c>
    </row>
    <row r="39">
      <c r="A39" s="20" t="inlineStr">
        <is>
          <t>开发价值 总价 (元)</t>
        </is>
      </c>
      <c r="B39" s="21">
        <f>ROUND(B32-B38,0)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ROUND(B39/B40,0)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ROUND(B4-C4,0)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ROUND(B5-C5,0)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ROUND(B6-C6,0)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ROUND(B7-C7,0)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ROUND(B8-C8,0)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ROUND(B9-C9,0)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ROUND(B10-C10,0)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ROUND(B11-C11,0)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ROUND(B12-C12,0)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ROUND(B13-C13,0)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ROUND(B14-C14,0)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ROUND(B15-C15,0)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ROUND(B16-C16,0)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ROUND(B17-C17,0)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ROUND(B18-C18,0)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ROUND(B19-C19,0)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ROUND(B20-C20,0)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ROUND(B21-C21,0)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ROUND(B22-C22,0)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ROUND(B23-C23,0)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ROUND(B24-C24,0)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ROUND(B25-C25,0)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ROUND(B26-C26,0)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ROUND(B27-C27,0)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ROUND(SUMPRODUCT(D4:D27,E4:E27),0)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2026-08-13T07:52:21Z</dcterms:created>
  <dcterms:modified xsi:type="dcterms:W3CDTF">2026-08-13T07:52:21Z</dcterms:modified>
</cp:coreProperties>
</file>